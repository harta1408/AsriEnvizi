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ZZ05V6616\Box\Releases\Configuration Connector\"/>
    </mc:Choice>
  </mc:AlternateContent>
  <xr:revisionPtr revIDLastSave="0" documentId="13_ncr:1_{3A998ED8-A19A-4067-A5B9-9CCADD0238D9}" xr6:coauthVersionLast="47" xr6:coauthVersionMax="47" xr10:uidLastSave="{00000000-0000-0000-0000-000000000000}"/>
  <bookViews>
    <workbookView xWindow="-38520" yWindow="45" windowWidth="38640" windowHeight="15720" xr2:uid="{00000000-000D-0000-FFFF-FFFF00000000}"/>
  </bookViews>
  <sheets>
    <sheet name="Setup" sheetId="1" r:id="rId1"/>
    <sheet name="Example 2 Tier Grouping" sheetId="4" r:id="rId2"/>
    <sheet name="Example 3 Tier Grouping" sheetId="5" r:id="rId3"/>
    <sheet name="Example Location + Group Matrix" sheetId="6" r:id="rId4"/>
    <sheet name="Example Update Locations" sheetId="2" r:id="rId5"/>
    <sheet name="Example Update Group Membership" sheetId="7" r:id="rId6"/>
    <sheet name="Country List" sheetId="8" r:id="rId7"/>
  </sheets>
  <externalReferences>
    <externalReference r:id="rId8"/>
  </externalReferences>
  <definedNames>
    <definedName name="_xlnm._FilterDatabase" localSheetId="6" hidden="1">'Country List'!$A$1:$A$1</definedName>
    <definedName name="_xlnm._FilterDatabase" localSheetId="1" hidden="1">'Example 2 Tier Grouping'!$A$1:$Q$1</definedName>
    <definedName name="_xlnm._FilterDatabase" localSheetId="2" hidden="1">'Example 3 Tier Grouping'!$A$1:$Q$1</definedName>
    <definedName name="_xlnm._FilterDatabase" localSheetId="3" hidden="1">'Example Location + Group Matrix'!$A$1:$Q$1</definedName>
    <definedName name="_xlnm._FilterDatabase" localSheetId="5" hidden="1">'Example Update Group Membership'!$A$1:$Q$1</definedName>
    <definedName name="_xlnm._FilterDatabase" localSheetId="4" hidden="1">'Example Update Locations'!$A$1:$Q$1</definedName>
    <definedName name="_xlnm._FilterDatabase" localSheetId="0" hidden="1">Setup!$A$1:$Q$42</definedName>
    <definedName name="countries">'Country List'!$A$2:$A$260</definedName>
    <definedName name="locs">[1]Sheet1!$A$1:$J$100</definedName>
    <definedName name="suploc">#REF!</definedName>
    <definedName name="supported">#REF!</definedName>
    <definedName name="supportedloc">#REF!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6" l="1"/>
  <c r="H13" i="6"/>
  <c r="I12" i="6"/>
  <c r="H12" i="6"/>
  <c r="I11" i="6"/>
  <c r="H11" i="6"/>
  <c r="I10" i="6"/>
  <c r="H10" i="6"/>
  <c r="P14" i="7"/>
  <c r="O14" i="7"/>
  <c r="N14" i="7"/>
  <c r="M14" i="7"/>
  <c r="L14" i="7"/>
  <c r="K14" i="7"/>
  <c r="J14" i="7"/>
  <c r="I14" i="7"/>
  <c r="H14" i="7"/>
  <c r="P13" i="7"/>
  <c r="O13" i="7"/>
  <c r="N13" i="7"/>
  <c r="M13" i="7"/>
  <c r="L13" i="7"/>
  <c r="K13" i="7"/>
  <c r="J13" i="7"/>
  <c r="I13" i="7"/>
  <c r="H13" i="7"/>
  <c r="P12" i="7"/>
  <c r="O12" i="7"/>
  <c r="N12" i="7"/>
  <c r="M12" i="7"/>
  <c r="L12" i="7"/>
  <c r="K12" i="7"/>
  <c r="J12" i="7"/>
  <c r="I12" i="7"/>
  <c r="H12" i="7"/>
  <c r="P11" i="7"/>
  <c r="O11" i="7"/>
  <c r="N11" i="7"/>
  <c r="M11" i="7"/>
  <c r="L11" i="7"/>
  <c r="K11" i="7"/>
  <c r="J11" i="7"/>
  <c r="I11" i="7"/>
  <c r="H11" i="7"/>
  <c r="P10" i="7"/>
  <c r="O10" i="7"/>
  <c r="N10" i="7"/>
  <c r="M10" i="7"/>
  <c r="L10" i="7"/>
  <c r="K10" i="7"/>
  <c r="J10" i="7"/>
  <c r="I10" i="7"/>
  <c r="H10" i="7"/>
  <c r="P9" i="7"/>
  <c r="O9" i="7"/>
  <c r="N9" i="7"/>
  <c r="M9" i="7"/>
  <c r="L9" i="7"/>
  <c r="K9" i="7"/>
  <c r="J9" i="7"/>
  <c r="I9" i="7"/>
  <c r="H9" i="7"/>
  <c r="P8" i="7"/>
  <c r="O8" i="7"/>
  <c r="N8" i="7"/>
  <c r="M8" i="7"/>
  <c r="L8" i="7"/>
  <c r="K8" i="7"/>
  <c r="J8" i="7"/>
  <c r="I8" i="7"/>
  <c r="H8" i="7"/>
  <c r="P7" i="7"/>
  <c r="O7" i="7"/>
  <c r="N7" i="7"/>
  <c r="M7" i="7"/>
  <c r="L7" i="7"/>
  <c r="K7" i="7"/>
  <c r="J7" i="7"/>
  <c r="I7" i="7"/>
  <c r="H7" i="7"/>
  <c r="P6" i="7"/>
  <c r="O6" i="7"/>
  <c r="N6" i="7"/>
  <c r="M6" i="7"/>
  <c r="L6" i="7"/>
  <c r="K6" i="7"/>
  <c r="J6" i="7"/>
  <c r="I6" i="7"/>
  <c r="H6" i="7"/>
  <c r="P5" i="7"/>
  <c r="O5" i="7"/>
  <c r="N5" i="7"/>
  <c r="M5" i="7"/>
  <c r="L5" i="7"/>
  <c r="K5" i="7"/>
  <c r="J5" i="7"/>
  <c r="I5" i="7"/>
  <c r="H5" i="7"/>
  <c r="P4" i="7"/>
  <c r="O4" i="7"/>
  <c r="N4" i="7"/>
  <c r="M4" i="7"/>
  <c r="L4" i="7"/>
  <c r="K4" i="7"/>
  <c r="J4" i="7"/>
  <c r="I4" i="7"/>
  <c r="P3" i="7"/>
  <c r="O3" i="7"/>
  <c r="N3" i="7"/>
  <c r="M3" i="7"/>
  <c r="L3" i="7"/>
  <c r="K3" i="7"/>
  <c r="J3" i="7"/>
  <c r="I3" i="7"/>
  <c r="H3" i="7"/>
  <c r="P2" i="7"/>
  <c r="O2" i="7"/>
  <c r="N2" i="7"/>
  <c r="M2" i="7"/>
  <c r="L2" i="7"/>
  <c r="K2" i="7"/>
  <c r="J2" i="7"/>
  <c r="I2" i="7"/>
  <c r="H2" i="7"/>
  <c r="P14" i="2"/>
  <c r="O14" i="2"/>
  <c r="N14" i="2"/>
  <c r="M14" i="2"/>
  <c r="L14" i="2"/>
  <c r="K14" i="2"/>
  <c r="J14" i="2"/>
  <c r="I14" i="2"/>
  <c r="H14" i="2"/>
  <c r="P13" i="2"/>
  <c r="O13" i="2"/>
  <c r="N13" i="2"/>
  <c r="M13" i="2"/>
  <c r="L13" i="2"/>
  <c r="K13" i="2"/>
  <c r="J13" i="2"/>
  <c r="I13" i="2"/>
  <c r="H13" i="2"/>
  <c r="P12" i="2"/>
  <c r="O12" i="2"/>
  <c r="N12" i="2"/>
  <c r="M12" i="2"/>
  <c r="L12" i="2"/>
  <c r="K12" i="2"/>
  <c r="J12" i="2"/>
  <c r="I12" i="2"/>
  <c r="H12" i="2"/>
  <c r="P11" i="2"/>
  <c r="O11" i="2"/>
  <c r="N11" i="2"/>
  <c r="M11" i="2"/>
  <c r="L11" i="2"/>
  <c r="K11" i="2"/>
  <c r="J11" i="2"/>
  <c r="I11" i="2"/>
  <c r="H11" i="2"/>
  <c r="P10" i="2"/>
  <c r="O10" i="2"/>
  <c r="N10" i="2"/>
  <c r="M10" i="2"/>
  <c r="L10" i="2"/>
  <c r="K10" i="2"/>
  <c r="J10" i="2"/>
  <c r="I10" i="2"/>
  <c r="H10" i="2"/>
  <c r="P9" i="2"/>
  <c r="O9" i="2"/>
  <c r="N9" i="2"/>
  <c r="M9" i="2"/>
  <c r="L9" i="2"/>
  <c r="K9" i="2"/>
  <c r="J9" i="2"/>
  <c r="I9" i="2"/>
  <c r="H9" i="2"/>
  <c r="P8" i="2"/>
  <c r="O8" i="2"/>
  <c r="N8" i="2"/>
  <c r="M8" i="2"/>
  <c r="L8" i="2"/>
  <c r="K8" i="2"/>
  <c r="J8" i="2"/>
  <c r="I8" i="2"/>
  <c r="H8" i="2"/>
  <c r="P7" i="2"/>
  <c r="O7" i="2"/>
  <c r="N7" i="2"/>
  <c r="M7" i="2"/>
  <c r="L7" i="2"/>
  <c r="K7" i="2"/>
  <c r="J7" i="2"/>
  <c r="I7" i="2"/>
  <c r="H7" i="2"/>
  <c r="P6" i="2"/>
  <c r="O6" i="2"/>
  <c r="N6" i="2"/>
  <c r="M6" i="2"/>
  <c r="L6" i="2"/>
  <c r="K6" i="2"/>
  <c r="J6" i="2"/>
  <c r="I6" i="2"/>
  <c r="H6" i="2"/>
  <c r="P5" i="2"/>
  <c r="O5" i="2"/>
  <c r="N5" i="2"/>
  <c r="M5" i="2"/>
  <c r="L5" i="2"/>
  <c r="K5" i="2"/>
  <c r="J5" i="2"/>
  <c r="I5" i="2"/>
  <c r="H5" i="2"/>
  <c r="P4" i="2"/>
  <c r="O4" i="2"/>
  <c r="N4" i="2"/>
  <c r="M4" i="2"/>
  <c r="L4" i="2"/>
  <c r="K4" i="2"/>
  <c r="J4" i="2"/>
  <c r="I4" i="2"/>
  <c r="P3" i="2"/>
  <c r="O3" i="2"/>
  <c r="N3" i="2"/>
  <c r="M3" i="2"/>
  <c r="L3" i="2"/>
  <c r="K3" i="2"/>
  <c r="J3" i="2"/>
  <c r="I3" i="2"/>
  <c r="H3" i="2"/>
  <c r="P2" i="2"/>
  <c r="O2" i="2"/>
  <c r="N2" i="2"/>
  <c r="M2" i="2"/>
  <c r="L2" i="2"/>
  <c r="K2" i="2"/>
  <c r="J2" i="2"/>
  <c r="I2" i="2"/>
  <c r="H2" i="2"/>
  <c r="I9" i="6"/>
  <c r="H9" i="6"/>
  <c r="I8" i="6"/>
  <c r="H8" i="6"/>
  <c r="I7" i="6"/>
  <c r="H7" i="6"/>
  <c r="I6" i="6"/>
  <c r="H6" i="6"/>
  <c r="F5" i="6"/>
  <c r="F4" i="6"/>
  <c r="F3" i="6"/>
  <c r="F2" i="6"/>
  <c r="P14" i="5"/>
  <c r="O14" i="5"/>
  <c r="N14" i="5"/>
  <c r="M14" i="5"/>
  <c r="L14" i="5"/>
  <c r="K14" i="5"/>
  <c r="J14" i="5"/>
  <c r="I14" i="5"/>
  <c r="H14" i="5"/>
  <c r="P13" i="5"/>
  <c r="O13" i="5"/>
  <c r="N13" i="5"/>
  <c r="M13" i="5"/>
  <c r="L13" i="5"/>
  <c r="K13" i="5"/>
  <c r="J13" i="5"/>
  <c r="I13" i="5"/>
  <c r="H13" i="5"/>
  <c r="P12" i="5"/>
  <c r="O12" i="5"/>
  <c r="N12" i="5"/>
  <c r="M12" i="5"/>
  <c r="L12" i="5"/>
  <c r="K12" i="5"/>
  <c r="J12" i="5"/>
  <c r="I12" i="5"/>
  <c r="H12" i="5"/>
  <c r="P11" i="5"/>
  <c r="O11" i="5"/>
  <c r="N11" i="5"/>
  <c r="M11" i="5"/>
  <c r="L11" i="5"/>
  <c r="K11" i="5"/>
  <c r="J11" i="5"/>
  <c r="I11" i="5"/>
  <c r="H11" i="5"/>
  <c r="P10" i="5"/>
  <c r="O10" i="5"/>
  <c r="N10" i="5"/>
  <c r="M10" i="5"/>
  <c r="L10" i="5"/>
  <c r="K10" i="5"/>
  <c r="J10" i="5"/>
  <c r="I10" i="5"/>
  <c r="H10" i="5"/>
  <c r="P9" i="5"/>
  <c r="O9" i="5"/>
  <c r="N9" i="5"/>
  <c r="M9" i="5"/>
  <c r="L9" i="5"/>
  <c r="K9" i="5"/>
  <c r="J9" i="5"/>
  <c r="I9" i="5"/>
  <c r="H9" i="5"/>
  <c r="P8" i="5"/>
  <c r="O8" i="5"/>
  <c r="N8" i="5"/>
  <c r="M8" i="5"/>
  <c r="L8" i="5"/>
  <c r="K8" i="5"/>
  <c r="J8" i="5"/>
  <c r="I8" i="5"/>
  <c r="H8" i="5"/>
  <c r="P7" i="5"/>
  <c r="O7" i="5"/>
  <c r="N7" i="5"/>
  <c r="M7" i="5"/>
  <c r="L7" i="5"/>
  <c r="K7" i="5"/>
  <c r="J7" i="5"/>
  <c r="I7" i="5"/>
  <c r="H7" i="5"/>
  <c r="P6" i="5"/>
  <c r="O6" i="5"/>
  <c r="N6" i="5"/>
  <c r="M6" i="5"/>
  <c r="L6" i="5"/>
  <c r="K6" i="5"/>
  <c r="J6" i="5"/>
  <c r="I6" i="5"/>
  <c r="H6" i="5"/>
  <c r="P5" i="5"/>
  <c r="O5" i="5"/>
  <c r="N5" i="5"/>
  <c r="M5" i="5"/>
  <c r="L5" i="5"/>
  <c r="K5" i="5"/>
  <c r="J5" i="5"/>
  <c r="I5" i="5"/>
  <c r="H5" i="5"/>
  <c r="P4" i="5"/>
  <c r="O4" i="5"/>
  <c r="N4" i="5"/>
  <c r="M4" i="5"/>
  <c r="L4" i="5"/>
  <c r="K4" i="5"/>
  <c r="J4" i="5"/>
  <c r="I4" i="5"/>
  <c r="H4" i="5"/>
  <c r="P3" i="5"/>
  <c r="O3" i="5"/>
  <c r="N3" i="5"/>
  <c r="M3" i="5"/>
  <c r="L3" i="5"/>
  <c r="K3" i="5"/>
  <c r="J3" i="5"/>
  <c r="I3" i="5"/>
  <c r="H3" i="5"/>
  <c r="P2" i="5"/>
  <c r="O2" i="5"/>
  <c r="N2" i="5"/>
  <c r="M2" i="5"/>
  <c r="L2" i="5"/>
  <c r="K2" i="5"/>
  <c r="J2" i="5"/>
  <c r="I2" i="5"/>
  <c r="H2" i="5"/>
  <c r="P7" i="4"/>
  <c r="O7" i="4"/>
  <c r="N7" i="4"/>
  <c r="M7" i="4"/>
  <c r="L7" i="4"/>
  <c r="K7" i="4"/>
  <c r="J7" i="4"/>
  <c r="I7" i="4"/>
  <c r="H7" i="4"/>
  <c r="P6" i="4"/>
  <c r="O6" i="4"/>
  <c r="N6" i="4"/>
  <c r="M6" i="4"/>
  <c r="L6" i="4"/>
  <c r="K6" i="4"/>
  <c r="J6" i="4"/>
  <c r="I6" i="4"/>
  <c r="H6" i="4"/>
  <c r="P5" i="4"/>
  <c r="O5" i="4"/>
  <c r="N5" i="4"/>
  <c r="M5" i="4"/>
  <c r="L5" i="4"/>
  <c r="K5" i="4"/>
  <c r="J5" i="4"/>
  <c r="I5" i="4"/>
  <c r="H5" i="4"/>
  <c r="P4" i="4"/>
  <c r="O4" i="4"/>
  <c r="N4" i="4"/>
  <c r="M4" i="4"/>
  <c r="L4" i="4"/>
  <c r="K4" i="4"/>
  <c r="J4" i="4"/>
  <c r="I4" i="4"/>
  <c r="H4" i="4"/>
  <c r="P3" i="4"/>
  <c r="O3" i="4"/>
  <c r="N3" i="4"/>
  <c r="M3" i="4"/>
  <c r="L3" i="4"/>
  <c r="K3" i="4"/>
  <c r="J3" i="4"/>
  <c r="I3" i="4"/>
  <c r="H3" i="4"/>
  <c r="P2" i="4"/>
  <c r="O2" i="4"/>
  <c r="N2" i="4"/>
  <c r="M2" i="4"/>
  <c r="L2" i="4"/>
  <c r="K2" i="4"/>
  <c r="J2" i="4"/>
  <c r="I2" i="4"/>
  <c r="H2" i="4"/>
</calcChain>
</file>

<file path=xl/sharedStrings.xml><?xml version="1.0" encoding="utf-8"?>
<sst xmlns="http://schemas.openxmlformats.org/spreadsheetml/2006/main" count="1318" uniqueCount="387">
  <si>
    <t>ORGANIZATION</t>
  </si>
  <si>
    <t>GROUP TYPE</t>
  </si>
  <si>
    <t>GROUP HIERARCHY NAME</t>
  </si>
  <si>
    <t>GROUP NAME 1</t>
  </si>
  <si>
    <t>GROUP NAME 2</t>
  </si>
  <si>
    <t>GROUP NAME 3</t>
  </si>
  <si>
    <t>LOCATION</t>
  </si>
  <si>
    <t>LOCATION REFERENCE</t>
  </si>
  <si>
    <t>LOCATION REF NO</t>
  </si>
  <si>
    <t>STREET ADDRESS</t>
  </si>
  <si>
    <t>CITY</t>
  </si>
  <si>
    <t>STATE PROVINCE</t>
  </si>
  <si>
    <t>POSTAL CODE</t>
  </si>
  <si>
    <t>COUNTRY</t>
  </si>
  <si>
    <t>LATITUDE Y</t>
  </si>
  <si>
    <t>LONGITUDE X</t>
  </si>
  <si>
    <t>LOCATION CLOSE DATE</t>
  </si>
  <si>
    <t>Classification</t>
  </si>
  <si>
    <t>Region</t>
  </si>
  <si>
    <t>North America</t>
  </si>
  <si>
    <t>Athens Manufacturing GA</t>
  </si>
  <si>
    <t>United States</t>
  </si>
  <si>
    <t>Oceania</t>
  </si>
  <si>
    <t>Auckland Office</t>
  </si>
  <si>
    <t>New Zealand</t>
  </si>
  <si>
    <t>East and Southeast Asia</t>
  </si>
  <si>
    <t>Beijing Office</t>
  </si>
  <si>
    <t>AP009</t>
  </si>
  <si>
    <t>8 Dongbeiwang West Rd, Haidian</t>
  </si>
  <si>
    <t>Beijing</t>
  </si>
  <si>
    <t>Beijing Municipality</t>
  </si>
  <si>
    <t>China</t>
  </si>
  <si>
    <t>South America</t>
  </si>
  <si>
    <t>Caracas Office</t>
  </si>
  <si>
    <t>LA011</t>
  </si>
  <si>
    <t>Avenida Tamanaco</t>
  </si>
  <si>
    <t>Caracas</t>
  </si>
  <si>
    <t>Capital District</t>
  </si>
  <si>
    <t>Venezuela</t>
  </si>
  <si>
    <t>Darwin Office</t>
  </si>
  <si>
    <t>NA020</t>
  </si>
  <si>
    <t>6100 Colwell Blvd</t>
  </si>
  <si>
    <t>Dallas</t>
  </si>
  <si>
    <t>Texas</t>
  </si>
  <si>
    <t>Data Center 112</t>
  </si>
  <si>
    <t>South Korea</t>
  </si>
  <si>
    <t>DIrect Fleet</t>
  </si>
  <si>
    <t>Grand Central</t>
  </si>
  <si>
    <t>Green Bay</t>
  </si>
  <si>
    <t>Lakewood Central</t>
  </si>
  <si>
    <t>LAKEWOOD</t>
  </si>
  <si>
    <t>Los Angeles</t>
  </si>
  <si>
    <t>Mississauga</t>
  </si>
  <si>
    <t>3216 Mississauga Street</t>
  </si>
  <si>
    <t>Ontario</t>
  </si>
  <si>
    <t>L4T 0A4</t>
  </si>
  <si>
    <t>Canada</t>
  </si>
  <si>
    <t>New York Wall St</t>
  </si>
  <si>
    <t>37 Wall Street</t>
  </si>
  <si>
    <t>New York</t>
  </si>
  <si>
    <t>Office Alexandria</t>
  </si>
  <si>
    <t>10 Western Avenue</t>
  </si>
  <si>
    <t>Albany</t>
  </si>
  <si>
    <t>One Penn Plaza</t>
  </si>
  <si>
    <t>Perrydale</t>
  </si>
  <si>
    <t>Redmond</t>
  </si>
  <si>
    <t>Regina</t>
  </si>
  <si>
    <t>3216 Regina Street</t>
  </si>
  <si>
    <t>Saskatchewan</t>
  </si>
  <si>
    <t>S4T 1J7</t>
  </si>
  <si>
    <t>Portfolio</t>
  </si>
  <si>
    <t>REIT</t>
  </si>
  <si>
    <t>Commercial Real Estate Group</t>
  </si>
  <si>
    <t>Asset Type</t>
  </si>
  <si>
    <t>Data Centers</t>
  </si>
  <si>
    <t>Healthcare</t>
  </si>
  <si>
    <t>Logistics</t>
  </si>
  <si>
    <t>Offices</t>
  </si>
  <si>
    <t>Residential</t>
  </si>
  <si>
    <t>Funds</t>
  </si>
  <si>
    <t>Fund A</t>
  </si>
  <si>
    <t>Fund C - Joint Ventures</t>
  </si>
  <si>
    <t>Tech</t>
  </si>
  <si>
    <t>Technology Group</t>
  </si>
  <si>
    <t>Data Centres</t>
  </si>
  <si>
    <t>Manufacturing</t>
  </si>
  <si>
    <t>Research Labs</t>
  </si>
  <si>
    <t>Sales Offices</t>
  </si>
  <si>
    <t>Transport</t>
  </si>
  <si>
    <t>Transport &amp; Logistics Group</t>
  </si>
  <si>
    <t>Fleet</t>
  </si>
  <si>
    <t>Ports</t>
  </si>
  <si>
    <t>Warehouses</t>
  </si>
  <si>
    <t>Business ABC</t>
  </si>
  <si>
    <t>The highlighted Fields result in a 2 tier grouping structure within Envizi as shown below</t>
  </si>
  <si>
    <t xml:space="preserve">The highlighted Fields result in a 3 tier grouping structure within Envizi as shown below. </t>
  </si>
  <si>
    <t>Explanation</t>
  </si>
  <si>
    <t>Amending location details (in green) will result in an update of the location if it's pre-existing in Envizi. If you leave these fields blank, they will null out that respective field for the existing location. Matching on existing locations is by Location Reference first then, Location Name (in Blue), if neither of these match an existing location then a new location is created.</t>
  </si>
  <si>
    <t>The group type specifies if it's portfolio or classification, the group hiearchy name is a label to identify the group structure as a whole. For example, the REIT group above. After initial configuration if you need to re-map the locations within the existing group structure, using your original load file update the groupname fields accordingly. The connector identifies the group structure based on the group hierarchy name and a combination of the groupname fields and will move the location to the corresponding group, if it does not exist, it will create it.</t>
  </si>
  <si>
    <t xml:space="preserve">In this example, the client has 4 locations. For the unique location list (in light green) map it first to your classification group structure (in dark blue blue). Then Copy the same location list and all attributes and paste it again below the existing data (dark green) to map to any subsequent portfolio groups like REIT (light blue). Omitting the location details in subsequent rows may result in them being nulled out in the system. 
You can copy the location details multiple time to support mapping to multiple distinct portfolio groups which are identified as unique using the Group Hierarchy Name 'Column C'. </t>
  </si>
  <si>
    <t/>
  </si>
  <si>
    <t>37.566535</t>
  </si>
  <si>
    <t>126.9779692</t>
  </si>
  <si>
    <t>34.6124905</t>
  </si>
  <si>
    <t>-117.8281193</t>
  </si>
  <si>
    <t>37.785961</t>
  </si>
  <si>
    <t>-122.403305</t>
  </si>
  <si>
    <t>39.3586748</t>
  </si>
  <si>
    <t>-83.4988069</t>
  </si>
  <si>
    <t>50.449147</t>
  </si>
  <si>
    <t>-104.625229</t>
  </si>
  <si>
    <t>40.03394</t>
  </si>
  <si>
    <t>116.281378</t>
  </si>
  <si>
    <t>7777</t>
  </si>
  <si>
    <t>10.521569</t>
  </si>
  <si>
    <t>-66.914291</t>
  </si>
  <si>
    <t>75243</t>
  </si>
  <si>
    <t>34.60861328</t>
  </si>
  <si>
    <t>-98.1528125</t>
  </si>
  <si>
    <t>43.589</t>
  </si>
  <si>
    <t>-79.6441</t>
  </si>
  <si>
    <t>33.983742</t>
  </si>
  <si>
    <t>-83.3264669</t>
  </si>
  <si>
    <t>12084</t>
  </si>
  <si>
    <t>41.424729</t>
  </si>
  <si>
    <t>-122.384144</t>
  </si>
  <si>
    <t>10119</t>
  </si>
  <si>
    <t>32.069991</t>
  </si>
  <si>
    <t>-81.101247</t>
  </si>
  <si>
    <t>-36.8484597</t>
  </si>
  <si>
    <t>174.7633315</t>
  </si>
  <si>
    <t>44.528574</t>
  </si>
  <si>
    <t>-88.010023</t>
  </si>
  <si>
    <t>Supported Countries to be used in Address</t>
  </si>
  <si>
    <t>Afghanistan</t>
  </si>
  <si>
    <t>Akrotiri</t>
  </si>
  <si>
    <t>Albania</t>
  </si>
  <si>
    <t>Algeria</t>
  </si>
  <si>
    <t>Andorra</t>
  </si>
  <si>
    <t>Angola</t>
  </si>
  <si>
    <t>Anguilla</t>
  </si>
  <si>
    <t>Antarctica</t>
  </si>
  <si>
    <t>Antigua and Barbuda</t>
  </si>
  <si>
    <t>Argentina</t>
  </si>
  <si>
    <t>Armenia</t>
  </si>
  <si>
    <t>Aruba</t>
  </si>
  <si>
    <t>Ashmore and Cartier Islands</t>
  </si>
  <si>
    <t>Australia</t>
  </si>
  <si>
    <t>Austria</t>
  </si>
  <si>
    <t>Azerbaijan</t>
  </si>
  <si>
    <t>Bahamas The</t>
  </si>
  <si>
    <t>Bahrain</t>
  </si>
  <si>
    <t>Baker Island</t>
  </si>
  <si>
    <t>Bangladesh</t>
  </si>
  <si>
    <t>Barbados</t>
  </si>
  <si>
    <t>Bassas da India</t>
  </si>
  <si>
    <t>Belarus</t>
  </si>
  <si>
    <t>Belgium</t>
  </si>
  <si>
    <t>Belize</t>
  </si>
  <si>
    <t>Benin</t>
  </si>
  <si>
    <t>Bermuda</t>
  </si>
  <si>
    <t>Bhutan</t>
  </si>
  <si>
    <t>Bolivia</t>
  </si>
  <si>
    <t>Bosnia and Herzegovina</t>
  </si>
  <si>
    <t>Botswana</t>
  </si>
  <si>
    <t>Bouvet Island</t>
  </si>
  <si>
    <t>Brazil</t>
  </si>
  <si>
    <t>British Indian Ocean Territory</t>
  </si>
  <si>
    <t>British Virgin Islands</t>
  </si>
  <si>
    <t>Brunei</t>
  </si>
  <si>
    <t>Bulgaria</t>
  </si>
  <si>
    <t>Burkina Faso</t>
  </si>
  <si>
    <t>Burundi</t>
  </si>
  <si>
    <t>Cambodia</t>
  </si>
  <si>
    <t>Cameroon</t>
  </si>
  <si>
    <t>Cape Verde</t>
  </si>
  <si>
    <t>Cayman Islands</t>
  </si>
  <si>
    <t>Central African Republic</t>
  </si>
  <si>
    <t>Chad</t>
  </si>
  <si>
    <t>Chile</t>
  </si>
  <si>
    <t>Christmas Island</t>
  </si>
  <si>
    <t>Clipperton Island</t>
  </si>
  <si>
    <t>Cocos (Keeling) Islands</t>
  </si>
  <si>
    <t>Colombia</t>
  </si>
  <si>
    <t>Comoros</t>
  </si>
  <si>
    <t>Congo Democratic Republic of the</t>
  </si>
  <si>
    <t>Congo Republic of the</t>
  </si>
  <si>
    <t>Cook Islands</t>
  </si>
  <si>
    <t>Coral Sea Islands</t>
  </si>
  <si>
    <t>Costa Rica</t>
  </si>
  <si>
    <t>Croatia</t>
  </si>
  <si>
    <t>Cuba</t>
  </si>
  <si>
    <t>Cyprus</t>
  </si>
  <si>
    <t>Czech Republic</t>
  </si>
  <si>
    <t>Denmark</t>
  </si>
  <si>
    <t>Dhekelia</t>
  </si>
  <si>
    <t>Djibouti</t>
  </si>
  <si>
    <t>Dominica</t>
  </si>
  <si>
    <t>Dominican Republic</t>
  </si>
  <si>
    <t>East Timor</t>
  </si>
  <si>
    <t>Ecuador</t>
  </si>
  <si>
    <t>Egypt</t>
  </si>
  <si>
    <t>El Salvador</t>
  </si>
  <si>
    <t>Equatorial Guinea</t>
  </si>
  <si>
    <t>Eritrea</t>
  </si>
  <si>
    <t>Estonia</t>
  </si>
  <si>
    <t>Ethiopia</t>
  </si>
  <si>
    <t>Europa Island</t>
  </si>
  <si>
    <t>Falkland Islands (Islas Malvinas)</t>
  </si>
  <si>
    <t>Faroe Islands</t>
  </si>
  <si>
    <t>Fiji</t>
  </si>
  <si>
    <t>Finland</t>
  </si>
  <si>
    <t>France</t>
  </si>
  <si>
    <t>French Guiana</t>
  </si>
  <si>
    <t>French Polynesia</t>
  </si>
  <si>
    <t>French Southern and Antarctic Lands</t>
  </si>
  <si>
    <t>Gabon</t>
  </si>
  <si>
    <t>Gambia The</t>
  </si>
  <si>
    <t>Gaza Strip</t>
  </si>
  <si>
    <t>Georgia</t>
  </si>
  <si>
    <t>Germany</t>
  </si>
  <si>
    <t>Ghana</t>
  </si>
  <si>
    <t>Glorioso Islands</t>
  </si>
  <si>
    <t>Greece</t>
  </si>
  <si>
    <t>Greenland</t>
  </si>
  <si>
    <t>Grenada</t>
  </si>
  <si>
    <t>Guadeloupe</t>
  </si>
  <si>
    <t>Guatemala</t>
  </si>
  <si>
    <t>Guinea</t>
  </si>
  <si>
    <t>Guinea-Bissau</t>
  </si>
  <si>
    <t>Guyana</t>
  </si>
  <si>
    <t>Haiti</t>
  </si>
  <si>
    <t>Heard Island and McDonald Islands</t>
  </si>
  <si>
    <t>Holy See (Vatican City)</t>
  </si>
  <si>
    <t>Honduras</t>
  </si>
  <si>
    <t>Howland Island</t>
  </si>
  <si>
    <t>Hungary</t>
  </si>
  <si>
    <t>Iceland</t>
  </si>
  <si>
    <t>India</t>
  </si>
  <si>
    <t>Indonesia</t>
  </si>
  <si>
    <t>Iran</t>
  </si>
  <si>
    <t>Iraq</t>
  </si>
  <si>
    <t>Ireland</t>
  </si>
  <si>
    <t>Israel</t>
  </si>
  <si>
    <t>Italy</t>
  </si>
  <si>
    <t>Ivory Coast</t>
  </si>
  <si>
    <t>Jamaica</t>
  </si>
  <si>
    <t>Jan Mayen</t>
  </si>
  <si>
    <t>Japan</t>
  </si>
  <si>
    <t>Jarvis Island</t>
  </si>
  <si>
    <t>Johnston Atoll</t>
  </si>
  <si>
    <t>Jordan</t>
  </si>
  <si>
    <t>Juan de Nova Island</t>
  </si>
  <si>
    <t>Kazakhstan</t>
  </si>
  <si>
    <t>Kenya</t>
  </si>
  <si>
    <t>Kingman Reef</t>
  </si>
  <si>
    <t>Kiribati</t>
  </si>
  <si>
    <t>Kosovo</t>
  </si>
  <si>
    <t>Kuwait</t>
  </si>
  <si>
    <t>Kyrgyzstan</t>
  </si>
  <si>
    <t>Laos</t>
  </si>
  <si>
    <t>Latvia</t>
  </si>
  <si>
    <t>Lebanon</t>
  </si>
  <si>
    <t>Lesotho</t>
  </si>
  <si>
    <t>Liberia</t>
  </si>
  <si>
    <t>Libya</t>
  </si>
  <si>
    <t>Liechtenstein</t>
  </si>
  <si>
    <t>Lithuania</t>
  </si>
  <si>
    <t>Luxembourg</t>
  </si>
  <si>
    <t>Macao</t>
  </si>
  <si>
    <t>Macedonia</t>
  </si>
  <si>
    <t>Madagascar</t>
  </si>
  <si>
    <t>Malawi</t>
  </si>
  <si>
    <t>Malaysia</t>
  </si>
  <si>
    <t>Maldives</t>
  </si>
  <si>
    <t>Mali</t>
  </si>
  <si>
    <t>Malta</t>
  </si>
  <si>
    <t>Marshall Islands</t>
  </si>
  <si>
    <t>Martinique</t>
  </si>
  <si>
    <t>Mauritania</t>
  </si>
  <si>
    <t>Mauritius</t>
  </si>
  <si>
    <t>Mayotte</t>
  </si>
  <si>
    <t>Mexico</t>
  </si>
  <si>
    <t>Micronesia Federated States of</t>
  </si>
  <si>
    <t>Midway Islands</t>
  </si>
  <si>
    <t>Moldova</t>
  </si>
  <si>
    <t>Monaco</t>
  </si>
  <si>
    <t>Mongolia</t>
  </si>
  <si>
    <t>Montenegro</t>
  </si>
  <si>
    <t>Montserrat</t>
  </si>
  <si>
    <t>Morocco</t>
  </si>
  <si>
    <t>Mozambique</t>
  </si>
  <si>
    <t>Myanmar (Burma)</t>
  </si>
  <si>
    <t>Namibia</t>
  </si>
  <si>
    <t>Nauru</t>
  </si>
  <si>
    <t>Navassa Island</t>
  </si>
  <si>
    <t>Nepal</t>
  </si>
  <si>
    <t>Netherlands Antilles</t>
  </si>
  <si>
    <t>Netherlands</t>
  </si>
  <si>
    <t>New Caledonia</t>
  </si>
  <si>
    <t>Nicaragua</t>
  </si>
  <si>
    <t>Niger</t>
  </si>
  <si>
    <t>Nigeria</t>
  </si>
  <si>
    <t>Niue</t>
  </si>
  <si>
    <t>Norfolk Island</t>
  </si>
  <si>
    <t>North Korea</t>
  </si>
  <si>
    <t>Northern Mariana Islands</t>
  </si>
  <si>
    <t>Norway</t>
  </si>
  <si>
    <t>Oman</t>
  </si>
  <si>
    <t>Pakistan</t>
  </si>
  <si>
    <t>Palau</t>
  </si>
  <si>
    <t>Palmyra Atoll</t>
  </si>
  <si>
    <t>Panama</t>
  </si>
  <si>
    <t>Papua New Guinea</t>
  </si>
  <si>
    <t>Paracel Islands</t>
  </si>
  <si>
    <t>Paraguay</t>
  </si>
  <si>
    <t>Peru</t>
  </si>
  <si>
    <t>Philippines</t>
  </si>
  <si>
    <t>Pitcairn Islands</t>
  </si>
  <si>
    <t>Poland</t>
  </si>
  <si>
    <t>Portugal</t>
  </si>
  <si>
    <t>Qatar</t>
  </si>
  <si>
    <t>Reunion</t>
  </si>
  <si>
    <t>Romania</t>
  </si>
  <si>
    <t>Russia</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</si>
  <si>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</si>
  <si>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</si>
  <si>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</si>
  <si>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</si>
  <si>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</si>
  <si>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</si>
  <si>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</si>
  <si>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</si>
  <si>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</si>
  <si>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</si>
  <si>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</si>
  <si>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</si>
  <si>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</si>
  <si>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</si>
  <si>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</si>
  <si>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</si>
  <si>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</si>
  <si>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</si>
  <si>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</si>
  <si>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</si>
  <si>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</si>
  <si>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South Sudan</t>
  </si>
  <si>
    <t>Southern Ocean</t>
  </si>
  <si>
    <t>Spain</t>
  </si>
  <si>
    <t>Spratly Islands</t>
  </si>
  <si>
    <t>Sri Lanka</t>
  </si>
  <si>
    <t>Sudan</t>
  </si>
  <si>
    <t>Suriname</t>
  </si>
  <si>
    <t>Svalbard</t>
  </si>
  <si>
    <t>Swaziland</t>
  </si>
  <si>
    <t>Sweden</t>
  </si>
  <si>
    <t>Switzerland</t>
  </si>
  <si>
    <t>Syria</t>
  </si>
  <si>
    <t>Taiwan</t>
  </si>
  <si>
    <t>Tajikistan</t>
  </si>
  <si>
    <t>Tanzania</t>
  </si>
  <si>
    <t>Thailand</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</si>
  <si>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</si>
  <si>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</si>
  <si>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</si>
  <si>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</si>
  <si>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</si>
  <si>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</si>
  <si>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</si>
  <si>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</si>
  <si>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</si>
  <si>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</si>
  <si>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</si>
  <si>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</si>
  <si>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</si>
  <si>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</si>
  <si>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</si>
  <si>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Uzbekistan</t>
  </si>
  <si>
    <t>Vanuatu</t>
  </si>
  <si>
    <t>Vietnam</t>
  </si>
  <si>
    <t>Wake Island</t>
  </si>
  <si>
    <t>Wallis and Futuna</t>
  </si>
  <si>
    <t>West Bank</t>
  </si>
  <si>
    <t>Western Sahara</t>
  </si>
  <si>
    <t>Yemen</t>
  </si>
  <si>
    <t>Zambia</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</si>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</sst>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6"/>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0" borderId="0" xfId="0" applyFont="1" applyAlignment="1">
      <alignment horizontal="left" vertical="top"/>
    </xf>
    <xf numFmtId="0" fontId="0" fillId="0" borderId="0" xfId="0" applyAlignment="1">
      <alignment horizontal="left" vertical="top"/>
    </xf>
    <xf numFmtId="0" fontId="16" fillId="33" borderId="0" xfId="0" applyFont="1" applyFill="1" applyAlignment="1">
      <alignment horizontal="left" vertical="top"/>
    </xf>
    <xf numFmtId="0" fontId="0" fillId="33" borderId="0" xfId="0" applyFill="1" applyAlignment="1">
      <alignment horizontal="left" vertical="top"/>
    </xf>
    <xf numFmtId="0" fontId="0" fillId="34" borderId="0" xfId="0" applyFill="1" applyAlignment="1">
      <alignment horizontal="left" vertical="top"/>
    </xf>
    <xf numFmtId="0" fontId="0" fillId="35" borderId="0" xfId="0" applyFill="1" applyAlignment="1">
      <alignment horizontal="left" vertical="top"/>
    </xf>
    <xf numFmtId="0" fontId="0" fillId="36" borderId="0" xfId="0" applyFill="1" applyAlignment="1">
      <alignment horizontal="left" vertical="top"/>
    </xf>
    <xf numFmtId="0" fontId="19" fillId="0" borderId="0" xfId="0" applyFont="1" applyAlignment="1">
      <alignment horizontal="left" vertical="top"/>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2</xdr:col>
      <xdr:colOff>617458</xdr:colOff>
      <xdr:row>22</xdr:row>
      <xdr:rowOff>152540</xdr:rowOff>
    </xdr:to>
    <xdr:pic>
      <xdr:nvPicPr>
        <xdr:cNvPr id="2" name="Picture 1">
          <a:extLst>
            <a:ext uri="{FF2B5EF4-FFF2-40B4-BE49-F238E27FC236}">
              <a16:creationId xmlns:a16="http://schemas.microsoft.com/office/drawing/2014/main" id="{A1751A3A-5CB7-023C-CDFC-A80BF5225753}"/>
            </a:ext>
          </a:extLst>
        </xdr:cNvPr>
        <xdr:cNvPicPr>
          <a:picLocks noChangeAspect="1"/>
        </xdr:cNvPicPr>
      </xdr:nvPicPr>
      <xdr:blipFill>
        <a:blip xmlns:r="http://schemas.openxmlformats.org/officeDocument/2006/relationships" r:embed="rId1"/>
        <a:stretch>
          <a:fillRect/>
        </a:stretch>
      </xdr:blipFill>
      <xdr:spPr>
        <a:xfrm>
          <a:off x="0" y="2644140"/>
          <a:ext cx="2743438" cy="16155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21</xdr:row>
      <xdr:rowOff>0</xdr:rowOff>
    </xdr:from>
    <xdr:to>
      <xdr:col>2</xdr:col>
      <xdr:colOff>602216</xdr:colOff>
      <xdr:row>33</xdr:row>
      <xdr:rowOff>38293</xdr:rowOff>
    </xdr:to>
    <xdr:pic>
      <xdr:nvPicPr>
        <xdr:cNvPr id="2" name="Picture 1">
          <a:extLst>
            <a:ext uri="{FF2B5EF4-FFF2-40B4-BE49-F238E27FC236}">
              <a16:creationId xmlns:a16="http://schemas.microsoft.com/office/drawing/2014/main" id="{EAC10C66-BD36-3C8F-5B25-64850E45B161}"/>
            </a:ext>
          </a:extLst>
        </xdr:cNvPr>
        <xdr:cNvPicPr>
          <a:picLocks noChangeAspect="1"/>
        </xdr:cNvPicPr>
      </xdr:nvPicPr>
      <xdr:blipFill>
        <a:blip xmlns:r="http://schemas.openxmlformats.org/officeDocument/2006/relationships" r:embed="rId1"/>
        <a:stretch>
          <a:fillRect/>
        </a:stretch>
      </xdr:blipFill>
      <xdr:spPr>
        <a:xfrm>
          <a:off x="0" y="3924300"/>
          <a:ext cx="2728196" cy="223285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ZZ05V6616/Box/Demo%20Site%20Updates/Envizi%20Product%20Trial/US04%20Envizi%20product%20trial%20Migration/Envizi_SetupConfig%20ESG%20Suite%20Locations%20portfolio%20gro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Sheet1"/>
      <sheetName val="Loc and Groups"/>
    </sheetNames>
    <sheetDataSet>
      <sheetData sheetId="0"/>
      <sheetData sheetId="1">
        <row r="1">
          <cell r="A1" t="str">
            <v>LOCATION</v>
          </cell>
          <cell r="B1" t="str">
            <v>LOCATION REFERENCE</v>
          </cell>
          <cell r="C1" t="str">
            <v>LOCATION REF NO</v>
          </cell>
          <cell r="D1" t="str">
            <v>STREET ADDRESS</v>
          </cell>
          <cell r="E1" t="str">
            <v>CITY</v>
          </cell>
          <cell r="F1" t="str">
            <v>STATE PROVINCE</v>
          </cell>
          <cell r="G1" t="str">
            <v>POSTAL CODE</v>
          </cell>
          <cell r="H1" t="str">
            <v>COUNTRY</v>
          </cell>
          <cell r="I1" t="str">
            <v>LATITUDE Y</v>
          </cell>
          <cell r="J1" t="str">
            <v>LONGITUDE X</v>
          </cell>
        </row>
        <row r="2">
          <cell r="A2" t="str">
            <v>Administration Building</v>
          </cell>
          <cell r="B2">
            <v>1001123</v>
          </cell>
          <cell r="D2" t="str">
            <v>3045 N Rocky Point Drive - Bldg A</v>
          </cell>
          <cell r="E2" t="str">
            <v>Tampa</v>
          </cell>
          <cell r="F2" t="str">
            <v>Florida</v>
          </cell>
          <cell r="G2">
            <v>33607</v>
          </cell>
          <cell r="H2" t="str">
            <v>United States</v>
          </cell>
          <cell r="I2">
            <v>27.9693</v>
          </cell>
          <cell r="J2">
            <v>-82.5685</v>
          </cell>
        </row>
        <row r="3">
          <cell r="A3" t="str">
            <v>Alluxa - Santa Rosa</v>
          </cell>
          <cell r="H3" t="str">
            <v>United States</v>
          </cell>
        </row>
        <row r="4">
          <cell r="A4" t="str">
            <v>AsunciÃ³n Way</v>
          </cell>
          <cell r="B4" t="str">
            <v>LA012</v>
          </cell>
          <cell r="D4" t="str">
            <v>15 De Agosto</v>
          </cell>
          <cell r="E4" t="str">
            <v>AsunciÃ³n</v>
          </cell>
          <cell r="F4" t="str">
            <v>Distrito Capital</v>
          </cell>
          <cell r="G4">
            <v>8888</v>
          </cell>
          <cell r="H4" t="str">
            <v>Paraguay</v>
          </cell>
          <cell r="I4">
            <v>-25.287037999999999</v>
          </cell>
          <cell r="J4">
            <v>-57.581662999999999</v>
          </cell>
        </row>
        <row r="5">
          <cell r="A5" t="str">
            <v>Athens Manufacturing GA</v>
          </cell>
          <cell r="H5" t="str">
            <v>United States</v>
          </cell>
          <cell r="I5">
            <v>33.983741999999999</v>
          </cell>
          <cell r="J5">
            <v>-83.3264669</v>
          </cell>
        </row>
        <row r="6">
          <cell r="A6" t="str">
            <v>Auckland Admin</v>
          </cell>
          <cell r="B6" t="str">
            <v>AP015</v>
          </cell>
          <cell r="D6" t="str">
            <v>42 Business Parade S, East Tamaki</v>
          </cell>
          <cell r="E6" t="str">
            <v>Auckland</v>
          </cell>
          <cell r="F6" t="str">
            <v>North Island</v>
          </cell>
          <cell r="G6">
            <v>2013</v>
          </cell>
          <cell r="H6" t="str">
            <v>New Zealand</v>
          </cell>
          <cell r="I6">
            <v>-36.941935000000001</v>
          </cell>
          <cell r="J6">
            <v>174.86696000000001</v>
          </cell>
        </row>
        <row r="7">
          <cell r="A7" t="str">
            <v>Auckland Office</v>
          </cell>
          <cell r="H7" t="str">
            <v>New Zealand</v>
          </cell>
          <cell r="I7">
            <v>-36.848459699999999</v>
          </cell>
          <cell r="J7">
            <v>174.76333149999999</v>
          </cell>
        </row>
        <row r="8">
          <cell r="A8" t="str">
            <v>Banagalore Plaza</v>
          </cell>
          <cell r="B8" t="str">
            <v>AP007</v>
          </cell>
          <cell r="D8" t="str">
            <v>Residency Rd, Richmond Town</v>
          </cell>
          <cell r="E8" t="str">
            <v>Banagalore</v>
          </cell>
          <cell r="F8" t="str">
            <v>Karnataka</v>
          </cell>
          <cell r="H8" t="str">
            <v>India</v>
          </cell>
          <cell r="I8">
            <v>12.973528999999999</v>
          </cell>
          <cell r="J8">
            <v>77.605339999999998</v>
          </cell>
        </row>
        <row r="9">
          <cell r="A9" t="str">
            <v>Banff</v>
          </cell>
          <cell r="D9" t="str">
            <v>3216 Banff Street</v>
          </cell>
          <cell r="E9" t="str">
            <v>Banff</v>
          </cell>
          <cell r="F9" t="str">
            <v>Alberta</v>
          </cell>
          <cell r="G9" t="str">
            <v>T1L 1H7</v>
          </cell>
          <cell r="H9" t="str">
            <v>Canada</v>
          </cell>
          <cell r="I9">
            <v>51.179130000000001</v>
          </cell>
          <cell r="J9">
            <v>-115.57655099999999</v>
          </cell>
        </row>
        <row r="10">
          <cell r="A10" t="str">
            <v>Beijing Office</v>
          </cell>
          <cell r="B10" t="str">
            <v>AP009</v>
          </cell>
          <cell r="D10" t="str">
            <v>8 Dongbeiwang West Rd, Haidian</v>
          </cell>
          <cell r="E10" t="str">
            <v>Beijing</v>
          </cell>
          <cell r="F10" t="str">
            <v>Beijing Municipality</v>
          </cell>
          <cell r="H10" t="str">
            <v>China</v>
          </cell>
          <cell r="I10">
            <v>40.033940000000001</v>
          </cell>
          <cell r="J10">
            <v>116.281378</v>
          </cell>
        </row>
        <row r="11">
          <cell r="A11" t="str">
            <v>Berlin Commons</v>
          </cell>
          <cell r="B11" t="str">
            <v>EU001</v>
          </cell>
          <cell r="D11" t="str">
            <v>Friedrich Albert Strasse 4</v>
          </cell>
          <cell r="E11" t="str">
            <v>Berlin</v>
          </cell>
          <cell r="F11" t="str">
            <v>Berlin</v>
          </cell>
          <cell r="G11">
            <v>10963</v>
          </cell>
          <cell r="H11" t="str">
            <v>Germany</v>
          </cell>
          <cell r="I11">
            <v>52.516221000000002</v>
          </cell>
          <cell r="J11">
            <v>13.397826999999999</v>
          </cell>
        </row>
        <row r="12">
          <cell r="A12" t="str">
            <v>BogotÃ¡ Data Centre</v>
          </cell>
          <cell r="B12" t="str">
            <v>LA009</v>
          </cell>
          <cell r="D12" t="str">
            <v>Calle 73 # 8-70</v>
          </cell>
          <cell r="E12" t="str">
            <v>BogotÃ¡</v>
          </cell>
          <cell r="F12" t="str">
            <v>Distrito Capital</v>
          </cell>
          <cell r="G12">
            <v>5555</v>
          </cell>
          <cell r="H12" t="str">
            <v>Colombia</v>
          </cell>
          <cell r="I12">
            <v>4.6686490000000003</v>
          </cell>
          <cell r="J12">
            <v>-74.074459000000004</v>
          </cell>
        </row>
        <row r="13">
          <cell r="A13" t="str">
            <v>Brisbane Training Centre</v>
          </cell>
          <cell r="B13" t="str">
            <v>AP004</v>
          </cell>
          <cell r="D13" t="str">
            <v>333 Wickham Terrace</v>
          </cell>
          <cell r="E13" t="str">
            <v>Brisbane</v>
          </cell>
          <cell r="F13" t="str">
            <v>Queensland</v>
          </cell>
          <cell r="G13">
            <v>4000</v>
          </cell>
          <cell r="H13" t="str">
            <v>Australia</v>
          </cell>
          <cell r="I13">
            <v>-27.464607999999998</v>
          </cell>
          <cell r="J13">
            <v>153.02131600000001</v>
          </cell>
        </row>
        <row r="14">
          <cell r="A14" t="str">
            <v>Buenos Aires Plaza</v>
          </cell>
          <cell r="B14" t="str">
            <v>LA003</v>
          </cell>
          <cell r="D14" t="str">
            <v>ArÃ©valo 3031</v>
          </cell>
          <cell r="E14" t="str">
            <v>Buenos Aires</v>
          </cell>
          <cell r="F14" t="str">
            <v>Buenos Aires</v>
          </cell>
          <cell r="G14">
            <v>1426</v>
          </cell>
          <cell r="H14" t="str">
            <v>Argentina</v>
          </cell>
          <cell r="I14">
            <v>-34.566372999999999</v>
          </cell>
          <cell r="J14">
            <v>-58.406753999999999</v>
          </cell>
        </row>
        <row r="15">
          <cell r="A15" t="str">
            <v>Cairo Complex</v>
          </cell>
          <cell r="B15" t="str">
            <v>MEA01</v>
          </cell>
          <cell r="D15" t="str">
            <v>Alexandria Desert Road, KM 22</v>
          </cell>
          <cell r="E15" t="str">
            <v>Cairo</v>
          </cell>
          <cell r="F15" t="str">
            <v>Cairo</v>
          </cell>
          <cell r="G15">
            <v>12256</v>
          </cell>
          <cell r="H15" t="str">
            <v>Egypt</v>
          </cell>
          <cell r="I15">
            <v>30.047104999999998</v>
          </cell>
          <cell r="J15">
            <v>31.238143000000001</v>
          </cell>
        </row>
        <row r="16">
          <cell r="A16" t="str">
            <v>Calgary Education Center</v>
          </cell>
          <cell r="B16" t="str">
            <v>NA016</v>
          </cell>
          <cell r="D16" t="str">
            <v>455 - 5th Street SW</v>
          </cell>
          <cell r="E16" t="str">
            <v>Calgary</v>
          </cell>
          <cell r="F16" t="str">
            <v>Alberta</v>
          </cell>
          <cell r="G16" t="str">
            <v>T2P 0J6</v>
          </cell>
          <cell r="H16" t="str">
            <v>Canada</v>
          </cell>
          <cell r="I16">
            <v>51.048636000000002</v>
          </cell>
          <cell r="J16">
            <v>-114.07364</v>
          </cell>
        </row>
        <row r="17">
          <cell r="A17" t="str">
            <v>Cali Office</v>
          </cell>
          <cell r="H17" t="str">
            <v>United States</v>
          </cell>
          <cell r="I17">
            <v>36.778261000000001</v>
          </cell>
          <cell r="J17">
            <v>-119.4179324</v>
          </cell>
        </row>
        <row r="18">
          <cell r="A18" t="str">
            <v>Caracas Office</v>
          </cell>
          <cell r="B18" t="str">
            <v>LA011</v>
          </cell>
          <cell r="D18" t="str">
            <v>Avenida Tamanaco</v>
          </cell>
          <cell r="E18" t="str">
            <v>Caracas</v>
          </cell>
          <cell r="F18" t="str">
            <v>Capital District</v>
          </cell>
          <cell r="G18">
            <v>7777</v>
          </cell>
          <cell r="H18" t="str">
            <v>Venezuela</v>
          </cell>
          <cell r="I18">
            <v>10.521569</v>
          </cell>
          <cell r="J18">
            <v>-66.914291000000006</v>
          </cell>
        </row>
        <row r="19">
          <cell r="A19" t="str">
            <v>Carnatio Mall</v>
          </cell>
          <cell r="B19" t="str">
            <v>LAI001</v>
          </cell>
          <cell r="D19" t="str">
            <v>100 Easy Shopping Avenue</v>
          </cell>
          <cell r="E19" t="str">
            <v>Ciudad de Mexico</v>
          </cell>
          <cell r="F19" t="str">
            <v>Distrito Federal</v>
          </cell>
          <cell r="G19">
            <v>1219</v>
          </cell>
          <cell r="H19" t="str">
            <v>Mexico</v>
          </cell>
          <cell r="I19">
            <v>19.3736</v>
          </cell>
          <cell r="J19">
            <v>-99.260099999999994</v>
          </cell>
        </row>
        <row r="20">
          <cell r="A20" t="str">
            <v>Carpet Co</v>
          </cell>
          <cell r="H20" t="str">
            <v>United States</v>
          </cell>
        </row>
        <row r="21">
          <cell r="A21" t="str">
            <v>Casablanca Education Centre</v>
          </cell>
          <cell r="B21" t="str">
            <v>MEA03</v>
          </cell>
          <cell r="D21" t="str">
            <v>Le Zenith 1</v>
          </cell>
          <cell r="E21" t="str">
            <v>Casablanca</v>
          </cell>
          <cell r="F21" t="str">
            <v>Grand Casablanca</v>
          </cell>
          <cell r="H21" t="str">
            <v>United States</v>
          </cell>
          <cell r="I21">
            <v>33.534633999999997</v>
          </cell>
          <cell r="J21">
            <v>-7.584708</v>
          </cell>
        </row>
        <row r="22">
          <cell r="A22" t="str">
            <v>Ciudad de MÃ©xico Office</v>
          </cell>
          <cell r="B22" t="str">
            <v>LA015</v>
          </cell>
          <cell r="D22" t="str">
            <v>Zedec Santa Fe, Ãlvaro ObregÃ³n</v>
          </cell>
          <cell r="E22" t="str">
            <v>Ciudad de MÃ©xico</v>
          </cell>
          <cell r="F22" t="str">
            <v>Distrito Federal</v>
          </cell>
          <cell r="G22">
            <v>1219</v>
          </cell>
          <cell r="H22" t="str">
            <v>Mexico</v>
          </cell>
          <cell r="I22">
            <v>19.373624</v>
          </cell>
          <cell r="J22">
            <v>-99.260143999999997</v>
          </cell>
        </row>
        <row r="23">
          <cell r="A23" t="str">
            <v>Copenhagen Way</v>
          </cell>
          <cell r="B23" t="str">
            <v>EU011</v>
          </cell>
          <cell r="D23" t="str">
            <v>Fiolstraede 1</v>
          </cell>
          <cell r="E23" t="str">
            <v>Copenhagen</v>
          </cell>
          <cell r="F23" t="str">
            <v>Hovedstaden</v>
          </cell>
          <cell r="G23">
            <v>1171</v>
          </cell>
          <cell r="H23" t="str">
            <v>Denmark</v>
          </cell>
          <cell r="I23">
            <v>55.652797999999997</v>
          </cell>
          <cell r="J23">
            <v>12.579345999999999</v>
          </cell>
        </row>
        <row r="24">
          <cell r="A24" t="str">
            <v>Corporate Air Travel</v>
          </cell>
          <cell r="H24" t="str">
            <v>United States</v>
          </cell>
        </row>
        <row r="25">
          <cell r="A25" t="str">
            <v>Corporate Social Accounts</v>
          </cell>
          <cell r="H25" t="str">
            <v>United States</v>
          </cell>
        </row>
        <row r="26">
          <cell r="A26" t="str">
            <v>Dallas - Pub</v>
          </cell>
          <cell r="B26" t="str">
            <v>NA009</v>
          </cell>
          <cell r="D26" t="str">
            <v>3700 W. Royal Lane</v>
          </cell>
          <cell r="E26" t="str">
            <v>Dallas</v>
          </cell>
          <cell r="F26" t="str">
            <v>Texas</v>
          </cell>
          <cell r="G26">
            <v>75243</v>
          </cell>
          <cell r="H26" t="str">
            <v>United States</v>
          </cell>
          <cell r="I26">
            <v>32.792900000000003</v>
          </cell>
          <cell r="J26">
            <v>-96.748500000000007</v>
          </cell>
        </row>
        <row r="27">
          <cell r="A27" t="str">
            <v>Darwin Office</v>
          </cell>
          <cell r="B27" t="str">
            <v>NA020</v>
          </cell>
          <cell r="D27" t="str">
            <v>6100 Colwell Blvd</v>
          </cell>
          <cell r="E27" t="str">
            <v>Dallas</v>
          </cell>
          <cell r="F27" t="str">
            <v>Texas</v>
          </cell>
          <cell r="G27">
            <v>75243</v>
          </cell>
          <cell r="H27" t="str">
            <v>United States</v>
          </cell>
          <cell r="I27">
            <v>34.60861328</v>
          </cell>
          <cell r="J27">
            <v>-98.152812499999996</v>
          </cell>
        </row>
        <row r="28">
          <cell r="A28" t="str">
            <v>Data Center 112</v>
          </cell>
          <cell r="H28" t="str">
            <v>South Korea</v>
          </cell>
          <cell r="I28">
            <v>37.566535000000002</v>
          </cell>
          <cell r="J28">
            <v>126.9779692</v>
          </cell>
        </row>
        <row r="29">
          <cell r="A29" t="str">
            <v>Demo Assembly Plant</v>
          </cell>
          <cell r="H29" t="str">
            <v>United States</v>
          </cell>
          <cell r="I29">
            <v>44.314844299999997</v>
          </cell>
          <cell r="J29">
            <v>-85.602364300000005</v>
          </cell>
        </row>
        <row r="30">
          <cell r="A30" t="str">
            <v>Derwent St</v>
          </cell>
          <cell r="H30" t="str">
            <v>Australia</v>
          </cell>
        </row>
        <row r="31">
          <cell r="A31" t="str">
            <v>DIrect Fleet</v>
          </cell>
          <cell r="H31" t="str">
            <v>United States</v>
          </cell>
        </row>
        <row r="32">
          <cell r="A32" t="str">
            <v>Dubai Watson Center</v>
          </cell>
          <cell r="B32" t="str">
            <v>MEA06</v>
          </cell>
          <cell r="D32" t="str">
            <v>Dubai Internet City</v>
          </cell>
          <cell r="E32" t="str">
            <v>Dubai</v>
          </cell>
          <cell r="F32" t="str">
            <v>Dubai</v>
          </cell>
          <cell r="H32" t="str">
            <v>United Arab Emirates</v>
          </cell>
          <cell r="I32">
            <v>25.336424000000001</v>
          </cell>
          <cell r="J32">
            <v>55.379655</v>
          </cell>
        </row>
        <row r="33">
          <cell r="A33" t="str">
            <v>Dublin Education Centre</v>
          </cell>
          <cell r="B33" t="str">
            <v>EU003</v>
          </cell>
          <cell r="D33" t="str">
            <v>Shelbourne Rd, Ballsbridge</v>
          </cell>
          <cell r="E33" t="str">
            <v>Dublin</v>
          </cell>
          <cell r="F33" t="str">
            <v>Dublin</v>
          </cell>
          <cell r="G33">
            <v>4</v>
          </cell>
          <cell r="H33" t="str">
            <v>Ireland</v>
          </cell>
          <cell r="I33">
            <v>53.330458999999998</v>
          </cell>
          <cell r="J33">
            <v>-6.2313450000000001</v>
          </cell>
        </row>
        <row r="34">
          <cell r="A34" t="str">
            <v>Employee Commuting - North America</v>
          </cell>
          <cell r="H34" t="str">
            <v>United States</v>
          </cell>
        </row>
        <row r="35">
          <cell r="A35" t="str">
            <v>Energy Star Rated Site</v>
          </cell>
          <cell r="B35" t="str">
            <v>Primary contact: Jane Doe</v>
          </cell>
          <cell r="D35" t="str">
            <v>One Penn Plaza</v>
          </cell>
          <cell r="E35" t="str">
            <v>New York</v>
          </cell>
          <cell r="F35" t="str">
            <v>New York</v>
          </cell>
          <cell r="G35">
            <v>10119</v>
          </cell>
          <cell r="H35" t="str">
            <v>United States</v>
          </cell>
          <cell r="I35">
            <v>40.712775299999997</v>
          </cell>
          <cell r="J35">
            <v>-74.005972799999995</v>
          </cell>
        </row>
        <row r="36">
          <cell r="A36" t="str">
            <v>E-Waste Disposal Inc</v>
          </cell>
          <cell r="H36" t="str">
            <v>United States</v>
          </cell>
        </row>
        <row r="37">
          <cell r="A37" t="str">
            <v>Fleet Garage</v>
          </cell>
          <cell r="B37" t="str">
            <v>NA006</v>
          </cell>
          <cell r="D37" t="str">
            <v>2818 Greenville Ave</v>
          </cell>
          <cell r="E37" t="str">
            <v>Dallas</v>
          </cell>
          <cell r="F37" t="str">
            <v>Texas</v>
          </cell>
          <cell r="G37">
            <v>75206</v>
          </cell>
          <cell r="H37" t="str">
            <v>United States</v>
          </cell>
          <cell r="I37">
            <v>32.822588000000003</v>
          </cell>
          <cell r="J37">
            <v>-96.775260000000003</v>
          </cell>
        </row>
        <row r="38">
          <cell r="A38" t="str">
            <v>Gatineau</v>
          </cell>
          <cell r="D38" t="str">
            <v>3216 Gatineau Street</v>
          </cell>
          <cell r="E38" t="str">
            <v>Gatineau</v>
          </cell>
          <cell r="F38" t="str">
            <v>Quebec</v>
          </cell>
          <cell r="G38" t="str">
            <v>J8T 0G1</v>
          </cell>
          <cell r="H38" t="str">
            <v>Canada</v>
          </cell>
          <cell r="I38">
            <v>45.479140999999998</v>
          </cell>
          <cell r="J38">
            <v>-75.699130999999994</v>
          </cell>
        </row>
        <row r="39">
          <cell r="A39" t="str">
            <v>Grand Central</v>
          </cell>
          <cell r="H39" t="str">
            <v>United States</v>
          </cell>
          <cell r="I39">
            <v>32.069991000000002</v>
          </cell>
          <cell r="J39">
            <v>-81.101247000000001</v>
          </cell>
        </row>
        <row r="40">
          <cell r="A40" t="str">
            <v>Green Bay</v>
          </cell>
          <cell r="H40" t="str">
            <v>United States</v>
          </cell>
          <cell r="I40">
            <v>44.528573999999999</v>
          </cell>
          <cell r="J40">
            <v>-88.010023000000004</v>
          </cell>
        </row>
        <row r="41">
          <cell r="A41" t="str">
            <v>Guadalajara Office</v>
          </cell>
          <cell r="B41" t="str">
            <v>LA016</v>
          </cell>
          <cell r="D41" t="str">
            <v>J. Luis Verdia 120, Reforma</v>
          </cell>
          <cell r="E41" t="str">
            <v>Guadalajara</v>
          </cell>
          <cell r="F41" t="str">
            <v>Jalisco</v>
          </cell>
          <cell r="G41">
            <v>44400</v>
          </cell>
          <cell r="H41" t="str">
            <v>Mexico</v>
          </cell>
          <cell r="I41">
            <v>20.688358999999998</v>
          </cell>
          <cell r="J41">
            <v>-103.333969</v>
          </cell>
        </row>
        <row r="42">
          <cell r="A42" t="str">
            <v>Guayaquil Office</v>
          </cell>
          <cell r="B42" t="str">
            <v>LA008</v>
          </cell>
          <cell r="D42" t="str">
            <v>Leopoldo Benitez, Joaquin J Orrantia Gonalez</v>
          </cell>
          <cell r="E42" t="str">
            <v>Guayaquil</v>
          </cell>
          <cell r="F42" t="str">
            <v>Guayas</v>
          </cell>
          <cell r="G42" t="str">
            <v>EC090150</v>
          </cell>
          <cell r="H42" t="str">
            <v>Ecuador</v>
          </cell>
          <cell r="I42">
            <v>2.1303420000000002</v>
          </cell>
          <cell r="J42">
            <v>-79.895152999999993</v>
          </cell>
        </row>
        <row r="43">
          <cell r="A43" t="str">
            <v>Hamilton</v>
          </cell>
          <cell r="D43" t="str">
            <v>3216 Hamilton Street</v>
          </cell>
          <cell r="E43" t="str">
            <v>Hamilton</v>
          </cell>
          <cell r="F43" t="str">
            <v>Ontario</v>
          </cell>
          <cell r="G43" t="str">
            <v>L8L 6N4</v>
          </cell>
          <cell r="H43" t="str">
            <v>Canada</v>
          </cell>
          <cell r="I43">
            <v>43.262684</v>
          </cell>
          <cell r="J43">
            <v>-79.833782999999997</v>
          </cell>
        </row>
        <row r="44">
          <cell r="A44" t="str">
            <v>Harlow South</v>
          </cell>
          <cell r="B44">
            <v>1028471</v>
          </cell>
          <cell r="D44" t="str">
            <v>New Frontiers Science Park. Third Avenue</v>
          </cell>
          <cell r="E44" t="str">
            <v>Harlow</v>
          </cell>
          <cell r="G44" t="str">
            <v>CM19 5AW</v>
          </cell>
          <cell r="H44" t="str">
            <v>United Kingdom</v>
          </cell>
          <cell r="I44">
            <v>51.574244700000001</v>
          </cell>
          <cell r="J44">
            <v>0.4856781</v>
          </cell>
        </row>
        <row r="45">
          <cell r="A45" t="str">
            <v>Hartford</v>
          </cell>
          <cell r="D45" t="str">
            <v>53 Main Street</v>
          </cell>
          <cell r="E45" t="str">
            <v>East Hampton</v>
          </cell>
          <cell r="F45" t="str">
            <v>New York</v>
          </cell>
          <cell r="H45" t="str">
            <v>United States</v>
          </cell>
          <cell r="I45">
            <v>41.765804299999999</v>
          </cell>
          <cell r="J45">
            <v>-72.673372299999997</v>
          </cell>
        </row>
        <row r="46">
          <cell r="A46" t="str">
            <v>Hong Kong Watson Center</v>
          </cell>
          <cell r="B46" t="str">
            <v>AP008</v>
          </cell>
          <cell r="D46" t="str">
            <v>1106, 100 Cyberport Rd</v>
          </cell>
          <cell r="E46" t="str">
            <v>Hong Kong</v>
          </cell>
          <cell r="F46" t="str">
            <v>Hong Kong Island</v>
          </cell>
          <cell r="H46" t="str">
            <v>United States</v>
          </cell>
          <cell r="I46">
            <v>22.263739999999999</v>
          </cell>
          <cell r="J46">
            <v>114.129217</v>
          </cell>
        </row>
        <row r="47">
          <cell r="A47" t="str">
            <v>Howick Place</v>
          </cell>
          <cell r="H47" t="str">
            <v>United States</v>
          </cell>
          <cell r="I47">
            <v>40.712775299999997</v>
          </cell>
          <cell r="J47">
            <v>-74.005972799999995</v>
          </cell>
        </row>
        <row r="48">
          <cell r="A48" t="str">
            <v>Johannesburg Data Centre</v>
          </cell>
          <cell r="B48" t="str">
            <v>MEA08</v>
          </cell>
          <cell r="D48" t="str">
            <v>1 Rivonia Road</v>
          </cell>
          <cell r="E48" t="str">
            <v>Johannesburg</v>
          </cell>
          <cell r="F48" t="str">
            <v>Gauteng</v>
          </cell>
          <cell r="H48" t="str">
            <v>South Africa</v>
          </cell>
          <cell r="I48">
            <v>-33.918042999999997</v>
          </cell>
          <cell r="J48">
            <v>18.413171999999999</v>
          </cell>
        </row>
        <row r="49">
          <cell r="A49" t="str">
            <v>Kenya Commons</v>
          </cell>
          <cell r="B49" t="str">
            <v>MEA09</v>
          </cell>
          <cell r="D49" t="str">
            <v>Mama Ngina Street</v>
          </cell>
          <cell r="E49" t="str">
            <v>Nairobi</v>
          </cell>
          <cell r="F49" t="str">
            <v>Nairobi County</v>
          </cell>
          <cell r="H49" t="str">
            <v>Kenya</v>
          </cell>
          <cell r="I49">
            <v>-26.097930999999999</v>
          </cell>
          <cell r="J49">
            <v>28.056829</v>
          </cell>
        </row>
        <row r="50">
          <cell r="A50" t="str">
            <v>Kuala Lumpur Complex</v>
          </cell>
          <cell r="B50" t="str">
            <v>AP011</v>
          </cell>
          <cell r="D50" t="str">
            <v>No. 8, First Avenue</v>
          </cell>
          <cell r="E50" t="str">
            <v>Kuala Lumpur</v>
          </cell>
          <cell r="F50" t="str">
            <v>Kuala Lumpur</v>
          </cell>
          <cell r="G50">
            <v>47800</v>
          </cell>
          <cell r="H50" t="str">
            <v>Malaysia</v>
          </cell>
          <cell r="I50">
            <v>3.1499860000000002</v>
          </cell>
          <cell r="J50">
            <v>101.616175</v>
          </cell>
        </row>
        <row r="51">
          <cell r="A51" t="str">
            <v>Lakewood Central</v>
          </cell>
          <cell r="B51" t="str">
            <v>LAKEWOOD</v>
          </cell>
          <cell r="H51" t="str">
            <v>United States</v>
          </cell>
          <cell r="I51">
            <v>37.785961</v>
          </cell>
          <cell r="J51">
            <v>-122.403305</v>
          </cell>
        </row>
        <row r="52">
          <cell r="A52" t="str">
            <v>Library</v>
          </cell>
          <cell r="B52">
            <v>1001119</v>
          </cell>
          <cell r="D52" t="str">
            <v>18100 W Nine Mile Rd</v>
          </cell>
          <cell r="E52" t="str">
            <v>Detroit</v>
          </cell>
          <cell r="F52" t="str">
            <v>Michigan</v>
          </cell>
          <cell r="G52">
            <v>48075</v>
          </cell>
          <cell r="H52" t="str">
            <v>United States</v>
          </cell>
          <cell r="I52">
            <v>42.459631999999999</v>
          </cell>
          <cell r="J52">
            <v>-83.218142</v>
          </cell>
        </row>
        <row r="53">
          <cell r="A53" t="str">
            <v>Lille Office Plaza</v>
          </cell>
          <cell r="B53" t="str">
            <v>EU007</v>
          </cell>
          <cell r="D53" t="str">
            <v>95-97, boulevard du GÃ©nÃ©ral Leclerc</v>
          </cell>
          <cell r="E53" t="str">
            <v>Lille</v>
          </cell>
          <cell r="F53" t="str">
            <v>Nord</v>
          </cell>
          <cell r="G53">
            <v>5100</v>
          </cell>
          <cell r="H53" t="str">
            <v>France</v>
          </cell>
          <cell r="I53">
            <v>50.576261000000002</v>
          </cell>
          <cell r="J53">
            <v>3.0651860000000002</v>
          </cell>
        </row>
        <row r="54">
          <cell r="A54" t="str">
            <v>Lima Commons</v>
          </cell>
          <cell r="B54" t="str">
            <v>LA005</v>
          </cell>
          <cell r="D54" t="str">
            <v>Av Victor A Belaunde 147, Distrito de San Isidro</v>
          </cell>
          <cell r="E54" t="str">
            <v>Lima</v>
          </cell>
          <cell r="F54" t="str">
            <v>Lima</v>
          </cell>
          <cell r="G54">
            <v>27</v>
          </cell>
          <cell r="H54" t="str">
            <v>Peru</v>
          </cell>
          <cell r="I54">
            <v>-12.088842</v>
          </cell>
          <cell r="J54">
            <v>-77.098810999999998</v>
          </cell>
        </row>
        <row r="55">
          <cell r="A55" t="str">
            <v>Ljubljana Office Centre</v>
          </cell>
          <cell r="B55" t="str">
            <v>CEE07</v>
          </cell>
          <cell r="D55" t="str">
            <v>Slovenska 51, Ljubljana</v>
          </cell>
          <cell r="E55" t="str">
            <v>Ljubljana</v>
          </cell>
          <cell r="F55" t="str">
            <v>Central Slovenia</v>
          </cell>
          <cell r="G55">
            <v>1000</v>
          </cell>
          <cell r="H55" t="str">
            <v>Slovenia</v>
          </cell>
          <cell r="I55">
            <v>46.058492000000001</v>
          </cell>
          <cell r="J55">
            <v>14.500494</v>
          </cell>
        </row>
        <row r="56">
          <cell r="A56" t="str">
            <v>London Centre</v>
          </cell>
          <cell r="B56" t="str">
            <v>EU009</v>
          </cell>
          <cell r="D56" t="str">
            <v>23 Thames Way</v>
          </cell>
          <cell r="E56" t="str">
            <v>London</v>
          </cell>
          <cell r="F56" t="str">
            <v>Greater London</v>
          </cell>
          <cell r="G56" t="str">
            <v>FE9 2Z2</v>
          </cell>
          <cell r="H56" t="str">
            <v>United Kingdom</v>
          </cell>
          <cell r="I56">
            <v>51.500194</v>
          </cell>
          <cell r="J56">
            <v>-9.8887000000000003E-2</v>
          </cell>
        </row>
        <row r="57">
          <cell r="A57" t="str">
            <v>London Commons</v>
          </cell>
          <cell r="B57" t="str">
            <v>EU004</v>
          </cell>
          <cell r="D57" t="str">
            <v>77 Upper Ground Street</v>
          </cell>
          <cell r="E57" t="str">
            <v>London</v>
          </cell>
          <cell r="F57" t="str">
            <v>Greater London</v>
          </cell>
          <cell r="G57" t="str">
            <v>SE1 9PZ</v>
          </cell>
          <cell r="H57" t="str">
            <v>United Kingdom</v>
          </cell>
          <cell r="I57">
            <v>51.508741999999998</v>
          </cell>
          <cell r="J57">
            <v>-0.13320899999999999</v>
          </cell>
        </row>
        <row r="58">
          <cell r="A58" t="str">
            <v>Los Angeles</v>
          </cell>
          <cell r="H58" t="str">
            <v>United States</v>
          </cell>
        </row>
        <row r="59">
          <cell r="A59" t="str">
            <v>Los Angeles Office</v>
          </cell>
          <cell r="B59" t="str">
            <v>NA010</v>
          </cell>
          <cell r="D59" t="str">
            <v>2185 N. California Blvd.</v>
          </cell>
          <cell r="E59" t="str">
            <v>Los Angeles</v>
          </cell>
          <cell r="F59" t="str">
            <v>California</v>
          </cell>
          <cell r="G59">
            <v>94596</v>
          </cell>
          <cell r="H59" t="str">
            <v>United States</v>
          </cell>
          <cell r="I59">
            <v>34.047022460000001</v>
          </cell>
          <cell r="J59">
            <v>-118.23771720000001</v>
          </cell>
        </row>
        <row r="60">
          <cell r="A60" t="str">
            <v>Makkah Plaza</v>
          </cell>
          <cell r="B60" t="str">
            <v>MEA02</v>
          </cell>
          <cell r="D60" t="str">
            <v>94 Derech Em-Hamoshavot</v>
          </cell>
          <cell r="E60" t="str">
            <v>Makkah</v>
          </cell>
          <cell r="F60" t="str">
            <v>Makkah</v>
          </cell>
          <cell r="G60">
            <v>49527</v>
          </cell>
          <cell r="H60" t="str">
            <v>Saudi Arabia</v>
          </cell>
          <cell r="I60">
            <v>21.414400000000001</v>
          </cell>
          <cell r="J60">
            <v>39.810161999999998</v>
          </cell>
        </row>
        <row r="61">
          <cell r="A61" t="str">
            <v>Manila Data Center</v>
          </cell>
          <cell r="B61" t="str">
            <v>AP014</v>
          </cell>
          <cell r="D61" t="str">
            <v>Commonwealth Avenue, Diliman</v>
          </cell>
          <cell r="E61" t="str">
            <v>Manila</v>
          </cell>
          <cell r="F61" t="str">
            <v>Metro Manila</v>
          </cell>
          <cell r="H61" t="str">
            <v>Philippines</v>
          </cell>
          <cell r="I61">
            <v>14.704846</v>
          </cell>
          <cell r="J61">
            <v>121.061633</v>
          </cell>
        </row>
        <row r="62">
          <cell r="A62" t="str">
            <v>MedellÃ­n Commons</v>
          </cell>
          <cell r="B62" t="str">
            <v>LA014</v>
          </cell>
          <cell r="D62" t="str">
            <v>Carrera 70 # 44-38</v>
          </cell>
          <cell r="E62" t="str">
            <v>MedellÃ­n</v>
          </cell>
          <cell r="F62" t="str">
            <v>Antioquia</v>
          </cell>
          <cell r="G62">
            <v>574</v>
          </cell>
          <cell r="H62" t="str">
            <v>Colombia</v>
          </cell>
          <cell r="I62">
            <v>6.270594</v>
          </cell>
          <cell r="J62">
            <v>-75.573406000000006</v>
          </cell>
        </row>
        <row r="63">
          <cell r="A63" t="str">
            <v>Medical Center</v>
          </cell>
          <cell r="B63">
            <v>1001102</v>
          </cell>
          <cell r="D63" t="str">
            <v>3045 N Rocky Point Drive - Bldg M</v>
          </cell>
          <cell r="E63" t="str">
            <v>Tampa</v>
          </cell>
          <cell r="F63" t="str">
            <v>Florida</v>
          </cell>
          <cell r="G63">
            <v>33607</v>
          </cell>
          <cell r="H63" t="str">
            <v>United States</v>
          </cell>
          <cell r="I63">
            <v>27.9693</v>
          </cell>
          <cell r="J63">
            <v>-82.5685</v>
          </cell>
        </row>
        <row r="64">
          <cell r="A64" t="str">
            <v>Melbourne Way</v>
          </cell>
          <cell r="B64" t="str">
            <v>AP002</v>
          </cell>
          <cell r="D64" t="str">
            <v>550 Collins Street</v>
          </cell>
          <cell r="E64" t="str">
            <v>Melbourne</v>
          </cell>
          <cell r="F64" t="str">
            <v>Victoria</v>
          </cell>
          <cell r="G64">
            <v>3001</v>
          </cell>
          <cell r="H64" t="str">
            <v>Australia</v>
          </cell>
          <cell r="I64">
            <v>-37.818396</v>
          </cell>
          <cell r="J64">
            <v>144.956211</v>
          </cell>
        </row>
        <row r="65">
          <cell r="A65" t="str">
            <v>Mississauga</v>
          </cell>
          <cell r="D65" t="str">
            <v>3216 Mississauga Street</v>
          </cell>
          <cell r="E65" t="str">
            <v>Mississauga</v>
          </cell>
          <cell r="F65" t="str">
            <v>Ontario</v>
          </cell>
          <cell r="G65" t="str">
            <v>L4T 0A4</v>
          </cell>
          <cell r="H65" t="str">
            <v>Canada</v>
          </cell>
          <cell r="I65">
            <v>43.588999999999999</v>
          </cell>
          <cell r="J65">
            <v>-79.644099999999995</v>
          </cell>
        </row>
        <row r="66">
          <cell r="A66" t="str">
            <v>Mobile Phones</v>
          </cell>
          <cell r="H66" t="str">
            <v>United States</v>
          </cell>
        </row>
        <row r="67">
          <cell r="A67" t="str">
            <v>Montevideo Centre</v>
          </cell>
          <cell r="B67" t="str">
            <v>LA006</v>
          </cell>
          <cell r="D67" t="str">
            <v>Plaza Independencia</v>
          </cell>
          <cell r="E67" t="str">
            <v>Montevideo</v>
          </cell>
          <cell r="F67" t="str">
            <v>Montevideo</v>
          </cell>
          <cell r="G67">
            <v>11100</v>
          </cell>
          <cell r="H67" t="str">
            <v>Uruguay</v>
          </cell>
          <cell r="I67">
            <v>-34.889310000000002</v>
          </cell>
          <cell r="J67">
            <v>-56.198501999999998</v>
          </cell>
        </row>
        <row r="68">
          <cell r="A68" t="str">
            <v>Montreal</v>
          </cell>
          <cell r="D68" t="str">
            <v>3216 Montreal Street</v>
          </cell>
          <cell r="E68" t="str">
            <v>Montreal</v>
          </cell>
          <cell r="F68" t="str">
            <v>Quebec</v>
          </cell>
          <cell r="G68" t="str">
            <v>H1A 0A2</v>
          </cell>
          <cell r="H68" t="str">
            <v>Canada</v>
          </cell>
          <cell r="I68">
            <v>45.5017</v>
          </cell>
          <cell r="J68">
            <v>-73.567300000000003</v>
          </cell>
        </row>
        <row r="69">
          <cell r="A69" t="str">
            <v>Moscow Complex</v>
          </cell>
          <cell r="B69" t="str">
            <v>CEE02</v>
          </cell>
          <cell r="D69" t="str">
            <v>Kalanchevskaya ulitsa, 21/40</v>
          </cell>
          <cell r="E69" t="str">
            <v>Moscow</v>
          </cell>
          <cell r="F69" t="str">
            <v>Moscow</v>
          </cell>
          <cell r="H69" t="str">
            <v>Russia</v>
          </cell>
          <cell r="I69">
            <v>55.776392000000001</v>
          </cell>
          <cell r="J69">
            <v>37.64622</v>
          </cell>
        </row>
        <row r="70">
          <cell r="A70" t="str">
            <v>Mumbai Way</v>
          </cell>
          <cell r="B70" t="str">
            <v>AP006</v>
          </cell>
          <cell r="D70" t="str">
            <v>Financial Centre, Plot C-22,Bandra Kurla Complex</v>
          </cell>
          <cell r="E70" t="str">
            <v>Mumbai</v>
          </cell>
          <cell r="F70" t="str">
            <v>Maharashtra</v>
          </cell>
          <cell r="H70" t="str">
            <v>India</v>
          </cell>
          <cell r="I70">
            <v>19.061306999999999</v>
          </cell>
          <cell r="J70">
            <v>72.855084000000005</v>
          </cell>
        </row>
        <row r="71">
          <cell r="A71" t="str">
            <v>New York Wall St</v>
          </cell>
          <cell r="D71" t="str">
            <v>37 Wall Street</v>
          </cell>
          <cell r="E71" t="str">
            <v>New York</v>
          </cell>
          <cell r="F71" t="str">
            <v>New York</v>
          </cell>
          <cell r="H71" t="str">
            <v>United States</v>
          </cell>
        </row>
        <row r="72">
          <cell r="A72" t="str">
            <v>Office Alexandria</v>
          </cell>
          <cell r="D72" t="str">
            <v>10 Western Avenue</v>
          </cell>
          <cell r="E72" t="str">
            <v>Albany</v>
          </cell>
          <cell r="F72" t="str">
            <v>New York</v>
          </cell>
          <cell r="G72">
            <v>12084</v>
          </cell>
          <cell r="H72" t="str">
            <v>United States</v>
          </cell>
          <cell r="I72">
            <v>41.424728999999999</v>
          </cell>
          <cell r="J72">
            <v>-122.38414400000001</v>
          </cell>
        </row>
        <row r="73">
          <cell r="A73" t="str">
            <v>Office Chesapeake</v>
          </cell>
          <cell r="H73" t="str">
            <v>United States</v>
          </cell>
          <cell r="I73">
            <v>38.969554500000001</v>
          </cell>
          <cell r="J73">
            <v>-77.386097599999999</v>
          </cell>
        </row>
        <row r="74">
          <cell r="A74" t="str">
            <v>Office Columbia</v>
          </cell>
          <cell r="H74" t="str">
            <v>United States</v>
          </cell>
          <cell r="I74">
            <v>39.0839973</v>
          </cell>
          <cell r="J74">
            <v>-77.152757800000003</v>
          </cell>
        </row>
        <row r="75">
          <cell r="A75" t="str">
            <v>Office Salem</v>
          </cell>
          <cell r="H75" t="str">
            <v>United States</v>
          </cell>
          <cell r="I75">
            <v>38.969554500000001</v>
          </cell>
          <cell r="J75">
            <v>-77.386097599999999</v>
          </cell>
        </row>
        <row r="76">
          <cell r="A76" t="str">
            <v>One Penn Plaza</v>
          </cell>
          <cell r="D76" t="str">
            <v>One Penn Plaza</v>
          </cell>
          <cell r="E76" t="str">
            <v>New York</v>
          </cell>
          <cell r="F76" t="str">
            <v>New York</v>
          </cell>
          <cell r="G76">
            <v>10119</v>
          </cell>
          <cell r="H76" t="str">
            <v>United States</v>
          </cell>
        </row>
        <row r="77">
          <cell r="A77" t="str">
            <v>Orchard Hill</v>
          </cell>
          <cell r="H77" t="str">
            <v>United States</v>
          </cell>
          <cell r="I77">
            <v>39.933466000000003</v>
          </cell>
          <cell r="J77">
            <v>-75.167319000000006</v>
          </cell>
        </row>
        <row r="78">
          <cell r="A78" t="str">
            <v>Perrydale</v>
          </cell>
          <cell r="H78" t="str">
            <v>United States</v>
          </cell>
          <cell r="I78">
            <v>34.6124905</v>
          </cell>
          <cell r="J78">
            <v>-117.8281193</v>
          </cell>
        </row>
        <row r="79">
          <cell r="A79" t="str">
            <v>Phillidelphia</v>
          </cell>
          <cell r="D79" t="str">
            <v>1414 Walnut Street</v>
          </cell>
          <cell r="E79" t="str">
            <v>Philadelphia</v>
          </cell>
          <cell r="F79" t="str">
            <v>Pennsylvania</v>
          </cell>
          <cell r="G79">
            <v>19477</v>
          </cell>
          <cell r="H79" t="str">
            <v>United States</v>
          </cell>
          <cell r="I79">
            <v>39.9525839</v>
          </cell>
          <cell r="J79">
            <v>-75.165221500000001</v>
          </cell>
        </row>
        <row r="80">
          <cell r="A80" t="str">
            <v>Pleasanton Office</v>
          </cell>
          <cell r="H80" t="str">
            <v>United States</v>
          </cell>
          <cell r="I80">
            <v>37.6604484</v>
          </cell>
          <cell r="J80">
            <v>-121.8757968</v>
          </cell>
        </row>
        <row r="81">
          <cell r="A81" t="str">
            <v>PortfolioCo 0</v>
          </cell>
          <cell r="H81" t="str">
            <v>United States</v>
          </cell>
        </row>
        <row r="82">
          <cell r="A82" t="str">
            <v>PortfolioCo 1</v>
          </cell>
          <cell r="H82" t="str">
            <v>United States</v>
          </cell>
          <cell r="I82">
            <v>36.662381500000002</v>
          </cell>
          <cell r="J82">
            <v>-121.6454222</v>
          </cell>
        </row>
        <row r="83">
          <cell r="A83" t="str">
            <v>PortfolioCo 2</v>
          </cell>
          <cell r="H83" t="str">
            <v>United States</v>
          </cell>
          <cell r="I83">
            <v>35.2827524</v>
          </cell>
          <cell r="J83">
            <v>-120.6596156</v>
          </cell>
        </row>
        <row r="84">
          <cell r="A84" t="str">
            <v>PortfolioCo 4</v>
          </cell>
          <cell r="H84" t="str">
            <v>United States</v>
          </cell>
          <cell r="I84">
            <v>33.763768900000002</v>
          </cell>
          <cell r="J84">
            <v>-116.3426552</v>
          </cell>
        </row>
        <row r="85">
          <cell r="A85" t="str">
            <v>Provincial Court of British Columbia</v>
          </cell>
          <cell r="D85" t="str">
            <v>800 Hornby Street</v>
          </cell>
          <cell r="E85" t="str">
            <v>Vancouver</v>
          </cell>
          <cell r="F85" t="str">
            <v>BC</v>
          </cell>
          <cell r="G85" t="str">
            <v>V6Z 2E1</v>
          </cell>
          <cell r="H85" t="str">
            <v>Canada</v>
          </cell>
          <cell r="I85">
            <v>49.2819875</v>
          </cell>
          <cell r="J85">
            <v>-123.12415489999999</v>
          </cell>
        </row>
        <row r="86">
          <cell r="A86" t="str">
            <v>Redmond</v>
          </cell>
          <cell r="H86" t="str">
            <v>United States</v>
          </cell>
          <cell r="I86">
            <v>39.358674800000003</v>
          </cell>
          <cell r="J86">
            <v>-83.498806900000005</v>
          </cell>
        </row>
        <row r="87">
          <cell r="A87" t="str">
            <v>Regina</v>
          </cell>
          <cell r="D87" t="str">
            <v>3216 Regina Street</v>
          </cell>
          <cell r="E87" t="str">
            <v>Regina</v>
          </cell>
          <cell r="F87" t="str">
            <v>Saskatchewan</v>
          </cell>
          <cell r="G87" t="str">
            <v>S4T 1J7</v>
          </cell>
          <cell r="H87" t="str">
            <v>Canada</v>
          </cell>
          <cell r="I87">
            <v>50.449147000000004</v>
          </cell>
          <cell r="J87">
            <v>-104.625229</v>
          </cell>
        </row>
        <row r="88">
          <cell r="A88" t="str">
            <v>Rental Car Co</v>
          </cell>
          <cell r="H88" t="str">
            <v>United States</v>
          </cell>
        </row>
        <row r="89">
          <cell r="A89" t="str">
            <v>Retail Store 222</v>
          </cell>
          <cell r="H89" t="str">
            <v>South Korea</v>
          </cell>
          <cell r="I89">
            <v>35.919007899999997</v>
          </cell>
          <cell r="J89">
            <v>128.28297380000001</v>
          </cell>
        </row>
        <row r="90">
          <cell r="A90" t="str">
            <v>Retail Store 517</v>
          </cell>
          <cell r="H90" t="str">
            <v>South Korea</v>
          </cell>
          <cell r="I90">
            <v>37.566535000000002</v>
          </cell>
          <cell r="J90">
            <v>126.9779692</v>
          </cell>
        </row>
        <row r="91">
          <cell r="A91" t="str">
            <v>Royal Oak</v>
          </cell>
          <cell r="H91" t="str">
            <v>United States</v>
          </cell>
          <cell r="I91">
            <v>43.664915999999998</v>
          </cell>
          <cell r="J91">
            <v>-70.367949999999993</v>
          </cell>
        </row>
        <row r="92">
          <cell r="A92" t="str">
            <v>Sherbrooke</v>
          </cell>
          <cell r="D92" t="str">
            <v>3216 Lac Megantic Street</v>
          </cell>
          <cell r="E92" t="str">
            <v>Lac Megantic</v>
          </cell>
          <cell r="F92" t="str">
            <v>Quebec</v>
          </cell>
          <cell r="G92" t="str">
            <v>G6B 1A5</v>
          </cell>
          <cell r="H92" t="str">
            <v>Canada</v>
          </cell>
          <cell r="I92">
            <v>45.589089999999999</v>
          </cell>
          <cell r="J92">
            <v>-70.905445999999998</v>
          </cell>
        </row>
        <row r="93">
          <cell r="A93" t="str">
            <v>SK Regional Head Office</v>
          </cell>
          <cell r="H93" t="str">
            <v>South Korea</v>
          </cell>
          <cell r="I93">
            <v>37.566535000000002</v>
          </cell>
          <cell r="J93">
            <v>126.9779692</v>
          </cell>
        </row>
        <row r="94">
          <cell r="A94" t="str">
            <v>Taylor</v>
          </cell>
          <cell r="H94" t="str">
            <v>United States</v>
          </cell>
          <cell r="I94">
            <v>39.300642699999997</v>
          </cell>
          <cell r="J94">
            <v>-94.714782400000004</v>
          </cell>
        </row>
        <row r="95">
          <cell r="A95" t="str">
            <v>Toronto</v>
          </cell>
          <cell r="D95" t="str">
            <v>3216 Toronto Street</v>
          </cell>
          <cell r="E95" t="str">
            <v>Toronto</v>
          </cell>
          <cell r="F95" t="str">
            <v>Ontario</v>
          </cell>
          <cell r="G95" t="str">
            <v>M5R 3R9</v>
          </cell>
          <cell r="H95" t="str">
            <v>Canada</v>
          </cell>
          <cell r="I95">
            <v>43.672260000000001</v>
          </cell>
          <cell r="J95">
            <v>-79.393514999999994</v>
          </cell>
        </row>
        <row r="96">
          <cell r="A96" t="str">
            <v>Trenton</v>
          </cell>
          <cell r="H96" t="str">
            <v>United States</v>
          </cell>
          <cell r="I96">
            <v>39.300639699999998</v>
          </cell>
          <cell r="J96">
            <v>-94.714782400000004</v>
          </cell>
        </row>
        <row r="97">
          <cell r="A97" t="str">
            <v>USCA</v>
          </cell>
          <cell r="H97" t="str">
            <v>United States</v>
          </cell>
        </row>
        <row r="98">
          <cell r="A98" t="str">
            <v>Vancouver</v>
          </cell>
          <cell r="D98" t="str">
            <v>3216 Vancouver Street</v>
          </cell>
          <cell r="E98" t="str">
            <v>Vancouver</v>
          </cell>
          <cell r="F98" t="str">
            <v>British Columbia</v>
          </cell>
          <cell r="G98" t="str">
            <v>V5V 3M5</v>
          </cell>
          <cell r="H98" t="str">
            <v>Canada</v>
          </cell>
          <cell r="I98">
            <v>49.256563999999997</v>
          </cell>
          <cell r="J98">
            <v>-123.10032200000001</v>
          </cell>
        </row>
        <row r="99">
          <cell r="A99" t="str">
            <v>Victoria</v>
          </cell>
          <cell r="D99" t="str">
            <v>3216 Victoria Street</v>
          </cell>
          <cell r="E99" t="str">
            <v>Victoria</v>
          </cell>
          <cell r="F99" t="str">
            <v>British Columbia</v>
          </cell>
          <cell r="G99" t="str">
            <v>V8W 0B6</v>
          </cell>
          <cell r="H99" t="str">
            <v>Canada</v>
          </cell>
          <cell r="I99">
            <v>48.426895999999999</v>
          </cell>
          <cell r="J99">
            <v>-123.360417</v>
          </cell>
        </row>
        <row r="100">
          <cell r="A100" t="str">
            <v>Wayne</v>
          </cell>
          <cell r="H100" t="str">
            <v>United States</v>
          </cell>
          <cell r="I100">
            <v>39.300642699999997</v>
          </cell>
          <cell r="J100">
            <v>-94.714782400000004</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2"/>
  <sheetViews>
    <sheetView tabSelected="1" topLeftCell="B1" zoomScaleNormal="100" workbookViewId="0">
      <selection activeCell="B2" sqref="B2"/>
    </sheetView>
  </sheetViews>
  <sheetFormatPr defaultColWidth="8.88671875" defaultRowHeight="14.4" x14ac:dyDescent="0.3"/>
  <cols>
    <col min="1" max="1" width="22.33203125" style="2" bestFit="1" customWidth="1"/>
    <col min="2" max="2" width="20" style="2" bestFit="1" customWidth="1"/>
    <col min="3" max="3" width="34.6640625" style="2" bestFit="1" customWidth="1"/>
    <col min="4" max="4" width="29.44140625" style="2" bestFit="1" customWidth="1"/>
    <col min="5" max="5" width="27.109375" style="2" bestFit="1" customWidth="1"/>
    <col min="6" max="6" width="23.21875" style="2" bestFit="1" customWidth="1"/>
    <col min="7" max="7" width="25.21875" style="2" bestFit="1" customWidth="1"/>
    <col min="8" max="8" width="31.109375" style="2" bestFit="1" customWidth="1"/>
    <col min="9" max="9" width="26" style="2" bestFit="1" customWidth="1"/>
    <col min="10" max="10" width="32.21875" style="2" bestFit="1" customWidth="1"/>
    <col min="11" max="11" width="12.44140625" style="2" bestFit="1" customWidth="1"/>
    <col min="12" max="12" width="25" style="2" bestFit="1" customWidth="1"/>
    <col min="13" max="13" width="21.33203125" style="2" bestFit="1" customWidth="1"/>
    <col min="14" max="14" width="16" style="2" bestFit="1" customWidth="1"/>
    <col min="15" max="15" width="18" style="2" bestFit="1" customWidth="1"/>
    <col min="16" max="16" width="20.44140625" style="2" bestFit="1" customWidth="1"/>
    <col min="17" max="17" width="32.109375" style="2" bestFit="1" customWidth="1"/>
    <col min="18" max="16384" width="8.88671875" style="2"/>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2" t="s">
        <v>93</v>
      </c>
      <c r="B2" s="2" t="s">
        <v>17</v>
      </c>
      <c r="C2" s="2" t="s">
        <v>18</v>
      </c>
      <c r="E2" s="2" t="s">
        <v>19</v>
      </c>
      <c r="F2" s="2" t="s">
        <v>21</v>
      </c>
      <c r="G2" s="2" t="s">
        <v>20</v>
      </c>
      <c r="N2" s="2" t="s">
        <v>21</v>
      </c>
      <c r="O2" s="2">
        <v>33.983741999999999</v>
      </c>
      <c r="P2" s="2">
        <v>-83.3264669</v>
      </c>
    </row>
    <row r="3" spans="1:17" x14ac:dyDescent="0.3">
      <c r="A3" s="2" t="s">
        <v>93</v>
      </c>
      <c r="B3" s="2" t="s">
        <v>17</v>
      </c>
      <c r="C3" s="2" t="s">
        <v>18</v>
      </c>
      <c r="E3" s="2" t="s">
        <v>22</v>
      </c>
      <c r="F3" s="2" t="s">
        <v>24</v>
      </c>
      <c r="G3" s="2" t="s">
        <v>23</v>
      </c>
      <c r="N3" s="2" t="s">
        <v>24</v>
      </c>
      <c r="O3" s="2">
        <v>-36.848459699999999</v>
      </c>
      <c r="P3" s="2">
        <v>174.76333149999999</v>
      </c>
    </row>
    <row r="4" spans="1:17" x14ac:dyDescent="0.3">
      <c r="A4" s="2" t="s">
        <v>93</v>
      </c>
      <c r="B4" s="2" t="s">
        <v>17</v>
      </c>
      <c r="C4" s="2" t="s">
        <v>18</v>
      </c>
      <c r="E4" s="2" t="s">
        <v>25</v>
      </c>
      <c r="F4" s="2" t="s">
        <v>31</v>
      </c>
      <c r="G4" s="2" t="s">
        <v>26</v>
      </c>
      <c r="H4" s="2" t="s">
        <v>27</v>
      </c>
      <c r="J4" s="2" t="s">
        <v>28</v>
      </c>
      <c r="K4" s="2" t="s">
        <v>29</v>
      </c>
      <c r="L4" s="2" t="s">
        <v>30</v>
      </c>
      <c r="N4" s="2" t="s">
        <v>31</v>
      </c>
      <c r="O4" s="2">
        <v>40.033940000000001</v>
      </c>
      <c r="P4" s="2">
        <v>116.281378</v>
      </c>
    </row>
    <row r="5" spans="1:17" x14ac:dyDescent="0.3">
      <c r="A5" s="2" t="s">
        <v>93</v>
      </c>
      <c r="B5" s="2" t="s">
        <v>17</v>
      </c>
      <c r="C5" s="2" t="s">
        <v>18</v>
      </c>
      <c r="E5" s="2" t="s">
        <v>32</v>
      </c>
      <c r="F5" s="2" t="s">
        <v>38</v>
      </c>
      <c r="G5" s="2" t="s">
        <v>33</v>
      </c>
      <c r="H5" s="2" t="s">
        <v>34</v>
      </c>
      <c r="J5" s="2" t="s">
        <v>35</v>
      </c>
      <c r="K5" s="2" t="s">
        <v>36</v>
      </c>
      <c r="L5" s="2" t="s">
        <v>37</v>
      </c>
      <c r="M5" s="2">
        <v>7777</v>
      </c>
      <c r="N5" s="2" t="s">
        <v>38</v>
      </c>
      <c r="O5" s="2">
        <v>10.521569</v>
      </c>
      <c r="P5" s="2">
        <v>-66.914291000000006</v>
      </c>
    </row>
    <row r="6" spans="1:17" x14ac:dyDescent="0.3">
      <c r="A6" s="2" t="s">
        <v>93</v>
      </c>
      <c r="B6" s="2" t="s">
        <v>17</v>
      </c>
      <c r="C6" s="2" t="s">
        <v>18</v>
      </c>
      <c r="E6" s="2" t="s">
        <v>19</v>
      </c>
      <c r="F6" s="2" t="s">
        <v>21</v>
      </c>
      <c r="G6" s="2" t="s">
        <v>39</v>
      </c>
      <c r="H6" s="2" t="s">
        <v>40</v>
      </c>
      <c r="J6" s="2" t="s">
        <v>41</v>
      </c>
      <c r="K6" s="2" t="s">
        <v>42</v>
      </c>
      <c r="L6" s="2" t="s">
        <v>43</v>
      </c>
      <c r="M6" s="2">
        <v>75243</v>
      </c>
      <c r="N6" s="2" t="s">
        <v>21</v>
      </c>
      <c r="O6" s="2">
        <v>34.60861328</v>
      </c>
      <c r="P6" s="2">
        <v>-98.152812499999996</v>
      </c>
    </row>
    <row r="7" spans="1:17" x14ac:dyDescent="0.3">
      <c r="A7" s="2" t="s">
        <v>93</v>
      </c>
      <c r="B7" s="2" t="s">
        <v>17</v>
      </c>
      <c r="C7" s="2" t="s">
        <v>18</v>
      </c>
      <c r="E7" s="2" t="s">
        <v>25</v>
      </c>
      <c r="F7" s="2" t="s">
        <v>45</v>
      </c>
      <c r="G7" s="2" t="s">
        <v>44</v>
      </c>
      <c r="N7" s="2" t="s">
        <v>45</v>
      </c>
      <c r="O7" s="2">
        <v>37.566535000000002</v>
      </c>
      <c r="P7" s="2">
        <v>126.9779692</v>
      </c>
    </row>
    <row r="8" spans="1:17" x14ac:dyDescent="0.3">
      <c r="A8" s="2" t="s">
        <v>93</v>
      </c>
      <c r="B8" s="2" t="s">
        <v>17</v>
      </c>
      <c r="C8" s="2" t="s">
        <v>18</v>
      </c>
      <c r="E8" s="2" t="s">
        <v>19</v>
      </c>
      <c r="F8" s="2" t="s">
        <v>21</v>
      </c>
      <c r="G8" s="2" t="s">
        <v>46</v>
      </c>
      <c r="N8" s="2" t="s">
        <v>21</v>
      </c>
    </row>
    <row r="9" spans="1:17" x14ac:dyDescent="0.3">
      <c r="A9" s="2" t="s">
        <v>93</v>
      </c>
      <c r="B9" s="2" t="s">
        <v>17</v>
      </c>
      <c r="C9" s="2" t="s">
        <v>18</v>
      </c>
      <c r="E9" s="2" t="s">
        <v>19</v>
      </c>
      <c r="F9" s="2" t="s">
        <v>21</v>
      </c>
      <c r="G9" s="2" t="s">
        <v>47</v>
      </c>
      <c r="N9" s="2" t="s">
        <v>21</v>
      </c>
      <c r="O9" s="2">
        <v>32.069991000000002</v>
      </c>
      <c r="P9" s="2">
        <v>-81.101247000000001</v>
      </c>
    </row>
    <row r="10" spans="1:17" x14ac:dyDescent="0.3">
      <c r="A10" s="2" t="s">
        <v>93</v>
      </c>
      <c r="B10" s="2" t="s">
        <v>17</v>
      </c>
      <c r="C10" s="2" t="s">
        <v>18</v>
      </c>
      <c r="E10" s="2" t="s">
        <v>19</v>
      </c>
      <c r="F10" s="2" t="s">
        <v>21</v>
      </c>
      <c r="G10" s="2" t="s">
        <v>48</v>
      </c>
      <c r="N10" s="2" t="s">
        <v>21</v>
      </c>
      <c r="O10" s="2">
        <v>44.528573999999999</v>
      </c>
      <c r="P10" s="2">
        <v>-88.010023000000004</v>
      </c>
    </row>
    <row r="11" spans="1:17" x14ac:dyDescent="0.3">
      <c r="A11" s="2" t="s">
        <v>93</v>
      </c>
      <c r="B11" s="2" t="s">
        <v>17</v>
      </c>
      <c r="C11" s="2" t="s">
        <v>18</v>
      </c>
      <c r="E11" s="2" t="s">
        <v>19</v>
      </c>
      <c r="F11" s="2" t="s">
        <v>21</v>
      </c>
      <c r="G11" s="2" t="s">
        <v>49</v>
      </c>
      <c r="H11" s="2" t="s">
        <v>50</v>
      </c>
      <c r="N11" s="2" t="s">
        <v>21</v>
      </c>
      <c r="O11" s="2">
        <v>37.785961</v>
      </c>
      <c r="P11" s="2">
        <v>-122.403305</v>
      </c>
    </row>
    <row r="12" spans="1:17" x14ac:dyDescent="0.3">
      <c r="A12" s="2" t="s">
        <v>93</v>
      </c>
      <c r="B12" s="2" t="s">
        <v>17</v>
      </c>
      <c r="C12" s="2" t="s">
        <v>18</v>
      </c>
      <c r="E12" s="2" t="s">
        <v>19</v>
      </c>
      <c r="F12" s="2" t="s">
        <v>21</v>
      </c>
      <c r="G12" s="2" t="s">
        <v>51</v>
      </c>
      <c r="N12" s="2" t="s">
        <v>21</v>
      </c>
    </row>
    <row r="13" spans="1:17" x14ac:dyDescent="0.3">
      <c r="A13" s="2" t="s">
        <v>93</v>
      </c>
      <c r="B13" s="2" t="s">
        <v>17</v>
      </c>
      <c r="C13" s="2" t="s">
        <v>18</v>
      </c>
      <c r="E13" s="2" t="s">
        <v>19</v>
      </c>
      <c r="F13" s="2" t="s">
        <v>56</v>
      </c>
      <c r="G13" s="2" t="s">
        <v>52</v>
      </c>
      <c r="J13" s="2" t="s">
        <v>53</v>
      </c>
      <c r="K13" s="2" t="s">
        <v>52</v>
      </c>
      <c r="L13" s="2" t="s">
        <v>54</v>
      </c>
      <c r="M13" s="2" t="s">
        <v>55</v>
      </c>
      <c r="N13" s="2" t="s">
        <v>56</v>
      </c>
      <c r="O13" s="2">
        <v>43.588999999999999</v>
      </c>
      <c r="P13" s="2">
        <v>-79.644099999999995</v>
      </c>
    </row>
    <row r="14" spans="1:17" x14ac:dyDescent="0.3">
      <c r="A14" s="2" t="s">
        <v>93</v>
      </c>
      <c r="B14" s="2" t="s">
        <v>17</v>
      </c>
      <c r="C14" s="2" t="s">
        <v>18</v>
      </c>
      <c r="E14" s="2" t="s">
        <v>19</v>
      </c>
      <c r="F14" s="2" t="s">
        <v>21</v>
      </c>
      <c r="G14" s="2" t="s">
        <v>57</v>
      </c>
      <c r="J14" s="2" t="s">
        <v>58</v>
      </c>
      <c r="K14" s="2" t="s">
        <v>59</v>
      </c>
      <c r="L14" s="2" t="s">
        <v>59</v>
      </c>
      <c r="N14" s="2" t="s">
        <v>21</v>
      </c>
    </row>
    <row r="15" spans="1:17" x14ac:dyDescent="0.3">
      <c r="A15" s="2" t="s">
        <v>93</v>
      </c>
      <c r="B15" s="2" t="s">
        <v>17</v>
      </c>
      <c r="C15" s="2" t="s">
        <v>18</v>
      </c>
      <c r="E15" s="2" t="s">
        <v>19</v>
      </c>
      <c r="F15" s="2" t="s">
        <v>21</v>
      </c>
      <c r="G15" s="2" t="s">
        <v>60</v>
      </c>
      <c r="J15" s="2" t="s">
        <v>61</v>
      </c>
      <c r="K15" s="2" t="s">
        <v>62</v>
      </c>
      <c r="L15" s="2" t="s">
        <v>59</v>
      </c>
      <c r="M15" s="2">
        <v>12084</v>
      </c>
      <c r="N15" s="2" t="s">
        <v>21</v>
      </c>
      <c r="O15" s="2">
        <v>41.424728999999999</v>
      </c>
      <c r="P15" s="2">
        <v>-122.38414400000001</v>
      </c>
    </row>
    <row r="16" spans="1:17" x14ac:dyDescent="0.3">
      <c r="A16" s="2" t="s">
        <v>93</v>
      </c>
      <c r="B16" s="2" t="s">
        <v>17</v>
      </c>
      <c r="C16" s="2" t="s">
        <v>18</v>
      </c>
      <c r="E16" s="2" t="s">
        <v>19</v>
      </c>
      <c r="F16" s="2" t="s">
        <v>21</v>
      </c>
      <c r="G16" s="2" t="s">
        <v>63</v>
      </c>
      <c r="J16" s="2" t="s">
        <v>63</v>
      </c>
      <c r="K16" s="2" t="s">
        <v>59</v>
      </c>
      <c r="L16" s="2" t="s">
        <v>59</v>
      </c>
      <c r="M16" s="2">
        <v>10119</v>
      </c>
      <c r="N16" s="2" t="s">
        <v>21</v>
      </c>
    </row>
    <row r="17" spans="1:16" x14ac:dyDescent="0.3">
      <c r="A17" s="2" t="s">
        <v>93</v>
      </c>
      <c r="B17" s="2" t="s">
        <v>17</v>
      </c>
      <c r="C17" s="2" t="s">
        <v>18</v>
      </c>
      <c r="E17" s="2" t="s">
        <v>19</v>
      </c>
      <c r="F17" s="2" t="s">
        <v>21</v>
      </c>
      <c r="G17" s="2" t="s">
        <v>64</v>
      </c>
      <c r="N17" s="2" t="s">
        <v>21</v>
      </c>
      <c r="O17" s="2">
        <v>34.6124905</v>
      </c>
      <c r="P17" s="2">
        <v>-117.8281193</v>
      </c>
    </row>
    <row r="18" spans="1:16" x14ac:dyDescent="0.3">
      <c r="A18" s="2" t="s">
        <v>93</v>
      </c>
      <c r="B18" s="2" t="s">
        <v>17</v>
      </c>
      <c r="C18" s="2" t="s">
        <v>18</v>
      </c>
      <c r="E18" s="2" t="s">
        <v>19</v>
      </c>
      <c r="F18" s="2" t="s">
        <v>21</v>
      </c>
      <c r="G18" s="2" t="s">
        <v>65</v>
      </c>
      <c r="N18" s="2" t="s">
        <v>21</v>
      </c>
      <c r="O18" s="2">
        <v>39.358674800000003</v>
      </c>
      <c r="P18" s="2">
        <v>-83.498806900000005</v>
      </c>
    </row>
    <row r="19" spans="1:16" x14ac:dyDescent="0.3">
      <c r="A19" s="2" t="s">
        <v>93</v>
      </c>
      <c r="B19" s="2" t="s">
        <v>17</v>
      </c>
      <c r="C19" s="2" t="s">
        <v>18</v>
      </c>
      <c r="E19" s="2" t="s">
        <v>19</v>
      </c>
      <c r="F19" s="2" t="s">
        <v>56</v>
      </c>
      <c r="G19" s="2" t="s">
        <v>66</v>
      </c>
      <c r="J19" s="2" t="s">
        <v>67</v>
      </c>
      <c r="K19" s="2" t="s">
        <v>66</v>
      </c>
      <c r="L19" s="2" t="s">
        <v>68</v>
      </c>
      <c r="M19" s="2" t="s">
        <v>69</v>
      </c>
      <c r="N19" s="2" t="s">
        <v>56</v>
      </c>
      <c r="O19" s="2">
        <v>50.449147000000004</v>
      </c>
      <c r="P19" s="2">
        <v>-104.625229</v>
      </c>
    </row>
    <row r="20" spans="1:16" x14ac:dyDescent="0.3">
      <c r="A20" s="2" t="s">
        <v>93</v>
      </c>
      <c r="B20" s="2" t="s">
        <v>70</v>
      </c>
      <c r="C20" s="2" t="s">
        <v>71</v>
      </c>
      <c r="D20" s="2" t="s">
        <v>72</v>
      </c>
      <c r="E20" s="2" t="s">
        <v>73</v>
      </c>
      <c r="F20" s="2" t="s">
        <v>74</v>
      </c>
      <c r="G20" s="2" t="s">
        <v>44</v>
      </c>
      <c r="H20" s="2" t="s">
        <v>100</v>
      </c>
      <c r="I20" s="2" t="s">
        <v>100</v>
      </c>
      <c r="J20" s="2" t="s">
        <v>100</v>
      </c>
      <c r="K20" s="2" t="s">
        <v>100</v>
      </c>
      <c r="L20" s="2" t="s">
        <v>100</v>
      </c>
      <c r="M20" s="2" t="s">
        <v>100</v>
      </c>
      <c r="N20" s="2" t="s">
        <v>45</v>
      </c>
      <c r="O20" s="2" t="s">
        <v>101</v>
      </c>
      <c r="P20" s="2" t="s">
        <v>102</v>
      </c>
    </row>
    <row r="21" spans="1:16" x14ac:dyDescent="0.3">
      <c r="A21" s="2" t="s">
        <v>93</v>
      </c>
      <c r="B21" s="2" t="s">
        <v>70</v>
      </c>
      <c r="C21" s="2" t="s">
        <v>71</v>
      </c>
      <c r="D21" s="2" t="s">
        <v>72</v>
      </c>
      <c r="E21" s="2" t="s">
        <v>73</v>
      </c>
      <c r="F21" s="2" t="s">
        <v>74</v>
      </c>
      <c r="G21" s="2" t="s">
        <v>64</v>
      </c>
      <c r="H21" s="2" t="s">
        <v>100</v>
      </c>
      <c r="I21" s="2" t="s">
        <v>100</v>
      </c>
      <c r="J21" s="2" t="s">
        <v>100</v>
      </c>
      <c r="K21" s="2" t="s">
        <v>100</v>
      </c>
      <c r="L21" s="2" t="s">
        <v>100</v>
      </c>
      <c r="M21" s="2" t="s">
        <v>100</v>
      </c>
      <c r="N21" s="2" t="s">
        <v>21</v>
      </c>
      <c r="O21" s="2" t="s">
        <v>103</v>
      </c>
      <c r="P21" s="2" t="s">
        <v>104</v>
      </c>
    </row>
    <row r="22" spans="1:16" x14ac:dyDescent="0.3">
      <c r="A22" s="2" t="s">
        <v>93</v>
      </c>
      <c r="B22" s="2" t="s">
        <v>70</v>
      </c>
      <c r="C22" s="2" t="s">
        <v>71</v>
      </c>
      <c r="D22" s="2" t="s">
        <v>72</v>
      </c>
      <c r="E22" s="2" t="s">
        <v>73</v>
      </c>
      <c r="F22" s="2" t="s">
        <v>75</v>
      </c>
      <c r="G22" s="2" t="s">
        <v>49</v>
      </c>
      <c r="H22" s="2" t="s">
        <v>50</v>
      </c>
      <c r="I22" s="2" t="s">
        <v>100</v>
      </c>
      <c r="J22" s="2" t="s">
        <v>100</v>
      </c>
      <c r="K22" s="2" t="s">
        <v>100</v>
      </c>
      <c r="L22" s="2" t="s">
        <v>100</v>
      </c>
      <c r="M22" s="2" t="s">
        <v>100</v>
      </c>
      <c r="N22" s="2" t="s">
        <v>21</v>
      </c>
      <c r="O22" s="2" t="s">
        <v>105</v>
      </c>
      <c r="P22" s="2" t="s">
        <v>106</v>
      </c>
    </row>
    <row r="23" spans="1:16" x14ac:dyDescent="0.3">
      <c r="A23" s="2" t="s">
        <v>93</v>
      </c>
      <c r="B23" s="2" t="s">
        <v>70</v>
      </c>
      <c r="C23" s="2" t="s">
        <v>71</v>
      </c>
      <c r="D23" s="2" t="s">
        <v>72</v>
      </c>
      <c r="E23" s="2" t="s">
        <v>73</v>
      </c>
      <c r="F23" s="2" t="s">
        <v>76</v>
      </c>
      <c r="G23" s="2" t="s">
        <v>65</v>
      </c>
      <c r="H23" s="2" t="s">
        <v>100</v>
      </c>
      <c r="I23" s="2" t="s">
        <v>100</v>
      </c>
      <c r="J23" s="2" t="s">
        <v>100</v>
      </c>
      <c r="K23" s="2" t="s">
        <v>100</v>
      </c>
      <c r="L23" s="2" t="s">
        <v>100</v>
      </c>
      <c r="M23" s="2" t="s">
        <v>100</v>
      </c>
      <c r="N23" s="2" t="s">
        <v>21</v>
      </c>
      <c r="O23" s="2" t="s">
        <v>107</v>
      </c>
      <c r="P23" s="2" t="s">
        <v>108</v>
      </c>
    </row>
    <row r="24" spans="1:16" x14ac:dyDescent="0.3">
      <c r="A24" s="2" t="s">
        <v>93</v>
      </c>
      <c r="B24" s="2" t="s">
        <v>70</v>
      </c>
      <c r="C24" s="2" t="s">
        <v>71</v>
      </c>
      <c r="D24" s="2" t="s">
        <v>72</v>
      </c>
      <c r="E24" s="2" t="s">
        <v>73</v>
      </c>
      <c r="F24" s="2" t="s">
        <v>76</v>
      </c>
      <c r="G24" s="2" t="s">
        <v>66</v>
      </c>
      <c r="H24" s="2" t="s">
        <v>100</v>
      </c>
      <c r="I24" s="2" t="s">
        <v>100</v>
      </c>
      <c r="J24" s="2" t="s">
        <v>67</v>
      </c>
      <c r="K24" s="2" t="s">
        <v>66</v>
      </c>
      <c r="L24" s="2" t="s">
        <v>68</v>
      </c>
      <c r="M24" s="2" t="s">
        <v>69</v>
      </c>
      <c r="N24" s="2" t="s">
        <v>56</v>
      </c>
      <c r="O24" s="2" t="s">
        <v>109</v>
      </c>
      <c r="P24" s="2" t="s">
        <v>110</v>
      </c>
    </row>
    <row r="25" spans="1:16" x14ac:dyDescent="0.3">
      <c r="A25" s="2" t="s">
        <v>93</v>
      </c>
      <c r="B25" s="2" t="s">
        <v>70</v>
      </c>
      <c r="C25" s="2" t="s">
        <v>71</v>
      </c>
      <c r="D25" s="2" t="s">
        <v>72</v>
      </c>
      <c r="E25" s="2" t="s">
        <v>73</v>
      </c>
      <c r="F25" s="2" t="s">
        <v>77</v>
      </c>
      <c r="G25" s="2" t="s">
        <v>26</v>
      </c>
      <c r="H25" s="2" t="s">
        <v>27</v>
      </c>
      <c r="I25" s="2" t="s">
        <v>100</v>
      </c>
      <c r="J25" s="2" t="s">
        <v>28</v>
      </c>
      <c r="K25" s="2" t="s">
        <v>29</v>
      </c>
      <c r="L25" s="2" t="s">
        <v>30</v>
      </c>
      <c r="M25" s="2" t="s">
        <v>100</v>
      </c>
      <c r="N25" s="2" t="s">
        <v>31</v>
      </c>
      <c r="O25" s="2" t="s">
        <v>111</v>
      </c>
      <c r="P25" s="2" t="s">
        <v>112</v>
      </c>
    </row>
    <row r="26" spans="1:16" x14ac:dyDescent="0.3">
      <c r="A26" s="2" t="s">
        <v>93</v>
      </c>
      <c r="B26" s="2" t="s">
        <v>70</v>
      </c>
      <c r="C26" s="2" t="s">
        <v>71</v>
      </c>
      <c r="D26" s="2" t="s">
        <v>72</v>
      </c>
      <c r="E26" s="2" t="s">
        <v>73</v>
      </c>
      <c r="F26" s="2" t="s">
        <v>77</v>
      </c>
      <c r="G26" s="2" t="s">
        <v>33</v>
      </c>
      <c r="H26" s="2" t="s">
        <v>34</v>
      </c>
      <c r="I26" s="2" t="s">
        <v>100</v>
      </c>
      <c r="J26" s="2" t="s">
        <v>35</v>
      </c>
      <c r="K26" s="2" t="s">
        <v>36</v>
      </c>
      <c r="L26" s="2" t="s">
        <v>37</v>
      </c>
      <c r="M26" s="2" t="s">
        <v>113</v>
      </c>
      <c r="N26" s="2" t="s">
        <v>38</v>
      </c>
      <c r="O26" s="2" t="s">
        <v>114</v>
      </c>
      <c r="P26" s="2" t="s">
        <v>115</v>
      </c>
    </row>
    <row r="27" spans="1:16" x14ac:dyDescent="0.3">
      <c r="A27" s="2" t="s">
        <v>93</v>
      </c>
      <c r="B27" s="2" t="s">
        <v>70</v>
      </c>
      <c r="C27" s="2" t="s">
        <v>71</v>
      </c>
      <c r="D27" s="2" t="s">
        <v>72</v>
      </c>
      <c r="E27" s="2" t="s">
        <v>73</v>
      </c>
      <c r="F27" s="2" t="s">
        <v>77</v>
      </c>
      <c r="G27" s="2" t="s">
        <v>39</v>
      </c>
      <c r="H27" s="2" t="s">
        <v>40</v>
      </c>
      <c r="I27" s="2" t="s">
        <v>100</v>
      </c>
      <c r="J27" s="2" t="s">
        <v>41</v>
      </c>
      <c r="K27" s="2" t="s">
        <v>42</v>
      </c>
      <c r="L27" s="2" t="s">
        <v>43</v>
      </c>
      <c r="M27" s="2" t="s">
        <v>116</v>
      </c>
      <c r="N27" s="2" t="s">
        <v>21</v>
      </c>
      <c r="O27" s="2" t="s">
        <v>117</v>
      </c>
      <c r="P27" s="2" t="s">
        <v>118</v>
      </c>
    </row>
    <row r="28" spans="1:16" x14ac:dyDescent="0.3">
      <c r="A28" s="2" t="s">
        <v>93</v>
      </c>
      <c r="B28" s="2" t="s">
        <v>70</v>
      </c>
      <c r="C28" s="2" t="s">
        <v>71</v>
      </c>
      <c r="D28" s="2" t="s">
        <v>72</v>
      </c>
      <c r="E28" s="2" t="s">
        <v>73</v>
      </c>
      <c r="F28" s="2" t="s">
        <v>78</v>
      </c>
      <c r="G28" s="2" t="s">
        <v>52</v>
      </c>
      <c r="H28" s="2" t="s">
        <v>100</v>
      </c>
      <c r="I28" s="2" t="s">
        <v>100</v>
      </c>
      <c r="J28" s="2" t="s">
        <v>53</v>
      </c>
      <c r="K28" s="2" t="s">
        <v>52</v>
      </c>
      <c r="L28" s="2" t="s">
        <v>54</v>
      </c>
      <c r="M28" s="2" t="s">
        <v>55</v>
      </c>
      <c r="N28" s="2" t="s">
        <v>56</v>
      </c>
      <c r="O28" s="2" t="s">
        <v>119</v>
      </c>
      <c r="P28" s="2" t="s">
        <v>120</v>
      </c>
    </row>
    <row r="29" spans="1:16" x14ac:dyDescent="0.3">
      <c r="A29" s="2" t="s">
        <v>93</v>
      </c>
      <c r="B29" s="2" t="s">
        <v>70</v>
      </c>
      <c r="C29" s="2" t="s">
        <v>71</v>
      </c>
      <c r="D29" s="2" t="s">
        <v>72</v>
      </c>
      <c r="E29" s="2" t="s">
        <v>79</v>
      </c>
      <c r="F29" s="2" t="s">
        <v>80</v>
      </c>
      <c r="G29" s="2" t="s">
        <v>20</v>
      </c>
      <c r="H29" s="2" t="s">
        <v>100</v>
      </c>
      <c r="I29" s="2" t="s">
        <v>100</v>
      </c>
      <c r="J29" s="2" t="s">
        <v>100</v>
      </c>
      <c r="K29" s="2" t="s">
        <v>100</v>
      </c>
      <c r="L29" s="2" t="s">
        <v>100</v>
      </c>
      <c r="M29" s="2" t="s">
        <v>100</v>
      </c>
      <c r="N29" s="2" t="s">
        <v>21</v>
      </c>
      <c r="O29" s="2" t="s">
        <v>121</v>
      </c>
      <c r="P29" s="2" t="s">
        <v>122</v>
      </c>
    </row>
    <row r="30" spans="1:16" x14ac:dyDescent="0.3">
      <c r="A30" s="2" t="s">
        <v>93</v>
      </c>
      <c r="B30" s="2" t="s">
        <v>70</v>
      </c>
      <c r="C30" s="2" t="s">
        <v>71</v>
      </c>
      <c r="D30" s="2" t="s">
        <v>72</v>
      </c>
      <c r="E30" s="2" t="s">
        <v>79</v>
      </c>
      <c r="F30" s="2" t="s">
        <v>80</v>
      </c>
      <c r="G30" s="2" t="s">
        <v>60</v>
      </c>
      <c r="H30" s="2" t="s">
        <v>100</v>
      </c>
      <c r="I30" s="2" t="s">
        <v>100</v>
      </c>
      <c r="J30" s="2" t="s">
        <v>61</v>
      </c>
      <c r="K30" s="2" t="s">
        <v>62</v>
      </c>
      <c r="L30" s="2" t="s">
        <v>59</v>
      </c>
      <c r="M30" s="2" t="s">
        <v>123</v>
      </c>
      <c r="N30" s="2" t="s">
        <v>21</v>
      </c>
      <c r="O30" s="2" t="s">
        <v>124</v>
      </c>
      <c r="P30" s="2" t="s">
        <v>125</v>
      </c>
    </row>
    <row r="31" spans="1:16" x14ac:dyDescent="0.3">
      <c r="A31" s="2" t="s">
        <v>93</v>
      </c>
      <c r="B31" s="2" t="s">
        <v>70</v>
      </c>
      <c r="C31" s="2" t="s">
        <v>71</v>
      </c>
      <c r="D31" s="2" t="s">
        <v>72</v>
      </c>
      <c r="E31" s="2" t="s">
        <v>79</v>
      </c>
      <c r="F31" s="2" t="s">
        <v>80</v>
      </c>
      <c r="G31" s="2" t="s">
        <v>63</v>
      </c>
      <c r="H31" s="2" t="s">
        <v>100</v>
      </c>
      <c r="I31" s="2" t="s">
        <v>100</v>
      </c>
      <c r="J31" s="2" t="s">
        <v>63</v>
      </c>
      <c r="K31" s="2" t="s">
        <v>59</v>
      </c>
      <c r="L31" s="2" t="s">
        <v>59</v>
      </c>
      <c r="M31" s="2" t="s">
        <v>126</v>
      </c>
      <c r="N31" s="2" t="s">
        <v>21</v>
      </c>
      <c r="O31" s="2" t="s">
        <v>100</v>
      </c>
      <c r="P31" s="2" t="s">
        <v>100</v>
      </c>
    </row>
    <row r="32" spans="1:16" x14ac:dyDescent="0.3">
      <c r="A32" s="2" t="s">
        <v>93</v>
      </c>
      <c r="B32" s="2" t="s">
        <v>70</v>
      </c>
      <c r="C32" s="2" t="s">
        <v>71</v>
      </c>
      <c r="D32" s="2" t="s">
        <v>72</v>
      </c>
      <c r="E32" s="2" t="s">
        <v>79</v>
      </c>
      <c r="F32" s="2" t="s">
        <v>81</v>
      </c>
      <c r="G32" s="2" t="s">
        <v>57</v>
      </c>
      <c r="H32" s="2" t="s">
        <v>100</v>
      </c>
      <c r="I32" s="2" t="s">
        <v>100</v>
      </c>
      <c r="J32" s="2" t="s">
        <v>58</v>
      </c>
      <c r="K32" s="2" t="s">
        <v>59</v>
      </c>
      <c r="L32" s="2" t="s">
        <v>59</v>
      </c>
      <c r="M32" s="2" t="s">
        <v>100</v>
      </c>
      <c r="N32" s="2" t="s">
        <v>21</v>
      </c>
      <c r="O32" s="2" t="s">
        <v>100</v>
      </c>
      <c r="P32" s="2" t="s">
        <v>100</v>
      </c>
    </row>
    <row r="33" spans="1:16" x14ac:dyDescent="0.3">
      <c r="A33" s="2" t="s">
        <v>93</v>
      </c>
      <c r="B33" s="2" t="s">
        <v>70</v>
      </c>
      <c r="C33" s="2" t="s">
        <v>82</v>
      </c>
      <c r="E33" s="2" t="s">
        <v>83</v>
      </c>
      <c r="F33" s="2" t="s">
        <v>84</v>
      </c>
      <c r="G33" s="2" t="s">
        <v>44</v>
      </c>
      <c r="H33" s="2" t="s">
        <v>100</v>
      </c>
      <c r="I33" s="2" t="s">
        <v>100</v>
      </c>
      <c r="J33" s="2" t="s">
        <v>100</v>
      </c>
      <c r="K33" s="2" t="s">
        <v>100</v>
      </c>
      <c r="L33" s="2" t="s">
        <v>100</v>
      </c>
      <c r="M33" s="2" t="s">
        <v>100</v>
      </c>
      <c r="N33" s="2" t="s">
        <v>45</v>
      </c>
      <c r="O33" s="2" t="s">
        <v>101</v>
      </c>
      <c r="P33" s="2" t="s">
        <v>102</v>
      </c>
    </row>
    <row r="34" spans="1:16" x14ac:dyDescent="0.3">
      <c r="A34" s="2" t="s">
        <v>93</v>
      </c>
      <c r="B34" s="2" t="s">
        <v>70</v>
      </c>
      <c r="C34" s="2" t="s">
        <v>82</v>
      </c>
      <c r="E34" s="2" t="s">
        <v>83</v>
      </c>
      <c r="F34" s="2" t="s">
        <v>85</v>
      </c>
      <c r="G34" s="2" t="s">
        <v>20</v>
      </c>
      <c r="H34" s="2" t="s">
        <v>100</v>
      </c>
      <c r="I34" s="2" t="s">
        <v>100</v>
      </c>
      <c r="J34" s="2" t="s">
        <v>100</v>
      </c>
      <c r="K34" s="2" t="s">
        <v>100</v>
      </c>
      <c r="L34" s="2" t="s">
        <v>100</v>
      </c>
      <c r="M34" s="2" t="s">
        <v>100</v>
      </c>
      <c r="N34" s="2" t="s">
        <v>21</v>
      </c>
      <c r="O34" s="2" t="s">
        <v>121</v>
      </c>
      <c r="P34" s="2" t="s">
        <v>122</v>
      </c>
    </row>
    <row r="35" spans="1:16" x14ac:dyDescent="0.3">
      <c r="A35" s="2" t="s">
        <v>93</v>
      </c>
      <c r="B35" s="2" t="s">
        <v>70</v>
      </c>
      <c r="C35" s="2" t="s">
        <v>82</v>
      </c>
      <c r="E35" s="2" t="s">
        <v>83</v>
      </c>
      <c r="F35" s="2" t="s">
        <v>85</v>
      </c>
      <c r="G35" s="2" t="s">
        <v>63</v>
      </c>
      <c r="H35" s="2" t="s">
        <v>100</v>
      </c>
      <c r="I35" s="2" t="s">
        <v>100</v>
      </c>
      <c r="J35" s="2" t="s">
        <v>63</v>
      </c>
      <c r="K35" s="2" t="s">
        <v>59</v>
      </c>
      <c r="L35" s="2" t="s">
        <v>59</v>
      </c>
      <c r="M35" s="2" t="s">
        <v>126</v>
      </c>
      <c r="N35" s="2" t="s">
        <v>21</v>
      </c>
      <c r="O35" s="2" t="s">
        <v>100</v>
      </c>
      <c r="P35" s="2" t="s">
        <v>100</v>
      </c>
    </row>
    <row r="36" spans="1:16" x14ac:dyDescent="0.3">
      <c r="A36" s="2" t="s">
        <v>93</v>
      </c>
      <c r="B36" s="2" t="s">
        <v>70</v>
      </c>
      <c r="C36" s="2" t="s">
        <v>82</v>
      </c>
      <c r="E36" s="2" t="s">
        <v>83</v>
      </c>
      <c r="F36" s="2" t="s">
        <v>86</v>
      </c>
      <c r="G36" s="2" t="s">
        <v>47</v>
      </c>
      <c r="H36" s="2" t="s">
        <v>100</v>
      </c>
      <c r="I36" s="2" t="s">
        <v>100</v>
      </c>
      <c r="J36" s="2" t="s">
        <v>100</v>
      </c>
      <c r="K36" s="2" t="s">
        <v>100</v>
      </c>
      <c r="L36" s="2" t="s">
        <v>100</v>
      </c>
      <c r="M36" s="2" t="s">
        <v>100</v>
      </c>
      <c r="N36" s="2" t="s">
        <v>21</v>
      </c>
      <c r="O36" s="2" t="s">
        <v>127</v>
      </c>
      <c r="P36" s="2" t="s">
        <v>128</v>
      </c>
    </row>
    <row r="37" spans="1:16" x14ac:dyDescent="0.3">
      <c r="A37" s="2" t="s">
        <v>93</v>
      </c>
      <c r="B37" s="2" t="s">
        <v>70</v>
      </c>
      <c r="C37" s="2" t="s">
        <v>82</v>
      </c>
      <c r="E37" s="2" t="s">
        <v>83</v>
      </c>
      <c r="F37" s="2" t="s">
        <v>87</v>
      </c>
      <c r="G37" s="2" t="s">
        <v>23</v>
      </c>
      <c r="H37" s="2" t="s">
        <v>100</v>
      </c>
      <c r="I37" s="2" t="s">
        <v>100</v>
      </c>
      <c r="J37" s="2" t="s">
        <v>100</v>
      </c>
      <c r="K37" s="2" t="s">
        <v>100</v>
      </c>
      <c r="L37" s="2" t="s">
        <v>100</v>
      </c>
      <c r="M37" s="2" t="s">
        <v>100</v>
      </c>
      <c r="N37" s="2" t="s">
        <v>24</v>
      </c>
      <c r="O37" s="2" t="s">
        <v>129</v>
      </c>
      <c r="P37" s="2" t="s">
        <v>130</v>
      </c>
    </row>
    <row r="38" spans="1:16" x14ac:dyDescent="0.3">
      <c r="A38" s="2" t="s">
        <v>93</v>
      </c>
      <c r="B38" s="2" t="s">
        <v>70</v>
      </c>
      <c r="C38" s="2" t="s">
        <v>82</v>
      </c>
      <c r="E38" s="2" t="s">
        <v>83</v>
      </c>
      <c r="F38" s="2" t="s">
        <v>87</v>
      </c>
      <c r="G38" s="2" t="s">
        <v>51</v>
      </c>
      <c r="H38" s="2" t="s">
        <v>100</v>
      </c>
      <c r="I38" s="2" t="s">
        <v>100</v>
      </c>
      <c r="J38" s="2" t="s">
        <v>100</v>
      </c>
      <c r="K38" s="2" t="s">
        <v>100</v>
      </c>
      <c r="L38" s="2" t="s">
        <v>100</v>
      </c>
      <c r="M38" s="2" t="s">
        <v>100</v>
      </c>
      <c r="N38" s="2" t="s">
        <v>21</v>
      </c>
      <c r="O38" s="2" t="s">
        <v>100</v>
      </c>
      <c r="P38" s="2" t="s">
        <v>100</v>
      </c>
    </row>
    <row r="39" spans="1:16" x14ac:dyDescent="0.3">
      <c r="A39" s="2" t="s">
        <v>93</v>
      </c>
      <c r="B39" s="2" t="s">
        <v>70</v>
      </c>
      <c r="C39" s="2" t="s">
        <v>88</v>
      </c>
      <c r="E39" s="2" t="s">
        <v>89</v>
      </c>
      <c r="F39" s="2" t="s">
        <v>90</v>
      </c>
      <c r="G39" s="2" t="s">
        <v>46</v>
      </c>
      <c r="H39" s="2" t="s">
        <v>100</v>
      </c>
      <c r="I39" s="2" t="s">
        <v>100</v>
      </c>
      <c r="J39" s="2" t="s">
        <v>100</v>
      </c>
      <c r="K39" s="2" t="s">
        <v>100</v>
      </c>
      <c r="L39" s="2" t="s">
        <v>100</v>
      </c>
      <c r="M39" s="2" t="s">
        <v>100</v>
      </c>
      <c r="N39" s="2" t="s">
        <v>21</v>
      </c>
      <c r="O39" s="2" t="s">
        <v>100</v>
      </c>
      <c r="P39" s="2" t="s">
        <v>100</v>
      </c>
    </row>
    <row r="40" spans="1:16" x14ac:dyDescent="0.3">
      <c r="A40" s="2" t="s">
        <v>93</v>
      </c>
      <c r="B40" s="2" t="s">
        <v>70</v>
      </c>
      <c r="C40" s="2" t="s">
        <v>88</v>
      </c>
      <c r="E40" s="2" t="s">
        <v>89</v>
      </c>
      <c r="F40" s="2" t="s">
        <v>77</v>
      </c>
      <c r="G40" s="2" t="s">
        <v>57</v>
      </c>
      <c r="H40" s="2" t="s">
        <v>100</v>
      </c>
      <c r="I40" s="2" t="s">
        <v>100</v>
      </c>
      <c r="J40" s="2" t="s">
        <v>58</v>
      </c>
      <c r="K40" s="2" t="s">
        <v>59</v>
      </c>
      <c r="L40" s="2" t="s">
        <v>59</v>
      </c>
      <c r="M40" s="2" t="s">
        <v>100</v>
      </c>
      <c r="N40" s="2" t="s">
        <v>21</v>
      </c>
      <c r="O40" s="2" t="s">
        <v>100</v>
      </c>
      <c r="P40" s="2" t="s">
        <v>100</v>
      </c>
    </row>
    <row r="41" spans="1:16" x14ac:dyDescent="0.3">
      <c r="A41" s="2" t="s">
        <v>93</v>
      </c>
      <c r="B41" s="2" t="s">
        <v>70</v>
      </c>
      <c r="C41" s="2" t="s">
        <v>88</v>
      </c>
      <c r="E41" s="2" t="s">
        <v>89</v>
      </c>
      <c r="F41" s="2" t="s">
        <v>91</v>
      </c>
      <c r="G41" s="2" t="s">
        <v>48</v>
      </c>
      <c r="H41" s="2" t="s">
        <v>100</v>
      </c>
      <c r="I41" s="2" t="s">
        <v>100</v>
      </c>
      <c r="J41" s="2" t="s">
        <v>100</v>
      </c>
      <c r="K41" s="2" t="s">
        <v>100</v>
      </c>
      <c r="L41" s="2" t="s">
        <v>100</v>
      </c>
      <c r="M41" s="2" t="s">
        <v>100</v>
      </c>
      <c r="N41" s="2" t="s">
        <v>21</v>
      </c>
      <c r="O41" s="2" t="s">
        <v>131</v>
      </c>
      <c r="P41" s="2" t="s">
        <v>132</v>
      </c>
    </row>
    <row r="42" spans="1:16" x14ac:dyDescent="0.3">
      <c r="A42" s="2" t="s">
        <v>93</v>
      </c>
      <c r="B42" s="2" t="s">
        <v>70</v>
      </c>
      <c r="C42" s="2" t="s">
        <v>88</v>
      </c>
      <c r="E42" s="2" t="s">
        <v>89</v>
      </c>
      <c r="F42" s="2" t="s">
        <v>92</v>
      </c>
      <c r="G42" s="2" t="s">
        <v>20</v>
      </c>
      <c r="H42" s="2" t="s">
        <v>100</v>
      </c>
      <c r="I42" s="2" t="s">
        <v>100</v>
      </c>
      <c r="J42" s="2" t="s">
        <v>100</v>
      </c>
      <c r="K42" s="2" t="s">
        <v>100</v>
      </c>
      <c r="L42" s="2" t="s">
        <v>100</v>
      </c>
      <c r="M42" s="2" t="s">
        <v>100</v>
      </c>
      <c r="N42" s="2" t="s">
        <v>21</v>
      </c>
      <c r="O42" s="2" t="s">
        <v>121</v>
      </c>
      <c r="P42" s="2" t="s">
        <v>122</v>
      </c>
    </row>
  </sheetData>
  <autoFilter ref="A1:Q42" xr:uid="{00000000-0001-0000-0000-000000000000}"/>
  <phoneticPr fontId="18" type="noConversion"/>
  <dataValidations count="1">
    <dataValidation type="list" allowBlank="1" showInputMessage="1" showErrorMessage="1" sqref="N2:N1048576" xr:uid="{3B433247-451C-42EA-947C-E306EF9C555F}">
      <formula1>countries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BF0C2-D6BD-4221-B9C2-DDC1EB4E9BDE}">
  <dimension ref="A1:Q13"/>
  <sheetViews>
    <sheetView workbookViewId="0">
      <selection activeCell="D18" sqref="D18"/>
    </sheetView>
  </sheetViews>
  <sheetFormatPr defaultRowHeight="14.4" x14ac:dyDescent="0.3"/>
  <cols>
    <col min="1" max="1" width="16.88671875" style="2" bestFit="1" customWidth="1"/>
    <col min="2" max="2" width="14.109375" style="2" bestFit="1" customWidth="1"/>
    <col min="3" max="3" width="26" style="2" bestFit="1" customWidth="1"/>
    <col min="4" max="4" width="27.33203125" style="2" bestFit="1" customWidth="1"/>
    <col min="5" max="5" width="24.88671875" style="2" bestFit="1" customWidth="1"/>
    <col min="6" max="6" width="21.21875" style="2" bestFit="1" customWidth="1"/>
    <col min="7" max="7" width="23.33203125" style="2" bestFit="1" customWidth="1"/>
    <col min="8" max="8" width="22.33203125" style="2" bestFit="1" customWidth="1"/>
    <col min="9" max="9" width="19" style="2" bestFit="1" customWidth="1"/>
    <col min="10" max="10" width="29.88671875" style="2" bestFit="1" customWidth="1"/>
    <col min="11" max="11" width="11.109375" style="2" bestFit="1" customWidth="1"/>
    <col min="12" max="12" width="18.33203125" style="2" bestFit="1" customWidth="1"/>
    <col min="13" max="13" width="15" style="2" bestFit="1" customWidth="1"/>
    <col min="14" max="14" width="12.44140625" style="2" bestFit="1" customWidth="1"/>
    <col min="15" max="15" width="12.88671875" style="2" bestFit="1" customWidth="1"/>
    <col min="16" max="16" width="15" style="2" bestFit="1" customWidth="1"/>
    <col min="17" max="17" width="23" style="2" bestFit="1" customWidth="1"/>
    <col min="18" max="16384" width="8.88671875" style="2"/>
  </cols>
  <sheetData>
    <row r="1" spans="1:17" x14ac:dyDescent="0.3">
      <c r="A1" s="1" t="s">
        <v>0</v>
      </c>
      <c r="B1" s="1" t="s">
        <v>1</v>
      </c>
      <c r="C1" s="1" t="s">
        <v>2</v>
      </c>
      <c r="D1" s="1" t="s">
        <v>3</v>
      </c>
      <c r="E1" s="3" t="s">
        <v>4</v>
      </c>
      <c r="F1" s="3" t="s">
        <v>5</v>
      </c>
      <c r="G1" s="3" t="s">
        <v>6</v>
      </c>
      <c r="H1" s="1" t="s">
        <v>7</v>
      </c>
      <c r="I1" s="1" t="s">
        <v>8</v>
      </c>
      <c r="J1" s="1" t="s">
        <v>9</v>
      </c>
      <c r="K1" s="1" t="s">
        <v>10</v>
      </c>
      <c r="L1" s="1" t="s">
        <v>11</v>
      </c>
      <c r="M1" s="1" t="s">
        <v>12</v>
      </c>
      <c r="N1" s="1" t="s">
        <v>13</v>
      </c>
      <c r="O1" s="1" t="s">
        <v>14</v>
      </c>
      <c r="P1" s="1" t="s">
        <v>15</v>
      </c>
      <c r="Q1" s="1" t="s">
        <v>16</v>
      </c>
    </row>
    <row r="2" spans="1:17" x14ac:dyDescent="0.3">
      <c r="A2" s="2" t="s">
        <v>93</v>
      </c>
      <c r="B2" s="2" t="s">
        <v>70</v>
      </c>
      <c r="C2" s="2" t="s">
        <v>82</v>
      </c>
      <c r="E2" s="4" t="s">
        <v>83</v>
      </c>
      <c r="F2" s="4" t="s">
        <v>84</v>
      </c>
      <c r="G2" s="4" t="s">
        <v>44</v>
      </c>
      <c r="H2" s="2" t="str">
        <f t="shared" ref="H2:H7" si="0">TRIM(VLOOKUP(G2,locs,2,FALSE))</f>
        <v/>
      </c>
      <c r="I2" s="2" t="str">
        <f t="shared" ref="I2:I7" si="1">TRIM(VLOOKUP(G2,locs,3,FALSE))</f>
        <v/>
      </c>
      <c r="J2" s="2" t="str">
        <f t="shared" ref="J2:J7" si="2">TRIM(VLOOKUP(G2,locs,4,FALSE))</f>
        <v/>
      </c>
      <c r="K2" s="2" t="str">
        <f t="shared" ref="K2:K7" si="3">TRIM(VLOOKUP(G2,locs,5,FALSE))</f>
        <v/>
      </c>
      <c r="L2" s="2" t="str">
        <f t="shared" ref="L2:L7" si="4">TRIM(VLOOKUP(G2,locs,6,FALSE))</f>
        <v/>
      </c>
      <c r="M2" s="2" t="str">
        <f t="shared" ref="M2:M7" si="5">TRIM(VLOOKUP(G2,locs,7,FALSE))</f>
        <v/>
      </c>
      <c r="N2" s="2" t="str">
        <f t="shared" ref="N2:N7" si="6">TRIM(VLOOKUP(G2,locs,8,FALSE))</f>
        <v>South Korea</v>
      </c>
      <c r="O2" s="2" t="str">
        <f t="shared" ref="O2:O7" si="7">TRIM(VLOOKUP(G2,locs,9,FALSE))</f>
        <v>37.566535</v>
      </c>
      <c r="P2" s="2" t="str">
        <f t="shared" ref="P2:P7" si="8">TRIM(VLOOKUP(G2,locs,10,FALSE))</f>
        <v>126.9779692</v>
      </c>
    </row>
    <row r="3" spans="1:17" x14ac:dyDescent="0.3">
      <c r="A3" s="2" t="s">
        <v>93</v>
      </c>
      <c r="B3" s="2" t="s">
        <v>70</v>
      </c>
      <c r="C3" s="2" t="s">
        <v>82</v>
      </c>
      <c r="E3" s="4" t="s">
        <v>83</v>
      </c>
      <c r="F3" s="4" t="s">
        <v>85</v>
      </c>
      <c r="G3" s="4" t="s">
        <v>20</v>
      </c>
      <c r="H3" s="2" t="str">
        <f t="shared" si="0"/>
        <v/>
      </c>
      <c r="I3" s="2" t="str">
        <f t="shared" si="1"/>
        <v/>
      </c>
      <c r="J3" s="2" t="str">
        <f t="shared" si="2"/>
        <v/>
      </c>
      <c r="K3" s="2" t="str">
        <f t="shared" si="3"/>
        <v/>
      </c>
      <c r="L3" s="2" t="str">
        <f t="shared" si="4"/>
        <v/>
      </c>
      <c r="M3" s="2" t="str">
        <f t="shared" si="5"/>
        <v/>
      </c>
      <c r="N3" s="2" t="str">
        <f t="shared" si="6"/>
        <v>United States</v>
      </c>
      <c r="O3" s="2" t="str">
        <f t="shared" si="7"/>
        <v>33.983742</v>
      </c>
      <c r="P3" s="2" t="str">
        <f t="shared" si="8"/>
        <v>-83.3264669</v>
      </c>
    </row>
    <row r="4" spans="1:17" x14ac:dyDescent="0.3">
      <c r="A4" s="2" t="s">
        <v>93</v>
      </c>
      <c r="B4" s="2" t="s">
        <v>70</v>
      </c>
      <c r="C4" s="2" t="s">
        <v>82</v>
      </c>
      <c r="E4" s="4" t="s">
        <v>83</v>
      </c>
      <c r="F4" s="4" t="s">
        <v>85</v>
      </c>
      <c r="G4" s="4" t="s">
        <v>63</v>
      </c>
      <c r="H4" s="2" t="str">
        <f t="shared" si="0"/>
        <v/>
      </c>
      <c r="I4" s="2" t="str">
        <f t="shared" si="1"/>
        <v/>
      </c>
      <c r="J4" s="2" t="str">
        <f t="shared" si="2"/>
        <v>One Penn Plaza</v>
      </c>
      <c r="K4" s="2" t="str">
        <f t="shared" si="3"/>
        <v>New York</v>
      </c>
      <c r="L4" s="2" t="str">
        <f t="shared" si="4"/>
        <v>New York</v>
      </c>
      <c r="M4" s="2" t="str">
        <f t="shared" si="5"/>
        <v>10119</v>
      </c>
      <c r="N4" s="2" t="str">
        <f t="shared" si="6"/>
        <v>United States</v>
      </c>
      <c r="O4" s="2" t="str">
        <f t="shared" si="7"/>
        <v/>
      </c>
      <c r="P4" s="2" t="str">
        <f t="shared" si="8"/>
        <v/>
      </c>
    </row>
    <row r="5" spans="1:17" x14ac:dyDescent="0.3">
      <c r="A5" s="2" t="s">
        <v>93</v>
      </c>
      <c r="B5" s="2" t="s">
        <v>70</v>
      </c>
      <c r="C5" s="2" t="s">
        <v>82</v>
      </c>
      <c r="E5" s="4" t="s">
        <v>83</v>
      </c>
      <c r="F5" s="4" t="s">
        <v>86</v>
      </c>
      <c r="G5" s="4" t="s">
        <v>47</v>
      </c>
      <c r="H5" s="2" t="str">
        <f t="shared" si="0"/>
        <v/>
      </c>
      <c r="I5" s="2" t="str">
        <f t="shared" si="1"/>
        <v/>
      </c>
      <c r="J5" s="2" t="str">
        <f t="shared" si="2"/>
        <v/>
      </c>
      <c r="K5" s="2" t="str">
        <f t="shared" si="3"/>
        <v/>
      </c>
      <c r="L5" s="2" t="str">
        <f t="shared" si="4"/>
        <v/>
      </c>
      <c r="M5" s="2" t="str">
        <f t="shared" si="5"/>
        <v/>
      </c>
      <c r="N5" s="2" t="str">
        <f t="shared" si="6"/>
        <v>United States</v>
      </c>
      <c r="O5" s="2" t="str">
        <f t="shared" si="7"/>
        <v>32.069991</v>
      </c>
      <c r="P5" s="2" t="str">
        <f t="shared" si="8"/>
        <v>-81.101247</v>
      </c>
    </row>
    <row r="6" spans="1:17" x14ac:dyDescent="0.3">
      <c r="A6" s="2" t="s">
        <v>93</v>
      </c>
      <c r="B6" s="2" t="s">
        <v>70</v>
      </c>
      <c r="C6" s="2" t="s">
        <v>82</v>
      </c>
      <c r="E6" s="4" t="s">
        <v>83</v>
      </c>
      <c r="F6" s="4" t="s">
        <v>87</v>
      </c>
      <c r="G6" s="4" t="s">
        <v>23</v>
      </c>
      <c r="H6" s="2" t="str">
        <f t="shared" si="0"/>
        <v/>
      </c>
      <c r="I6" s="2" t="str">
        <f t="shared" si="1"/>
        <v/>
      </c>
      <c r="J6" s="2" t="str">
        <f t="shared" si="2"/>
        <v/>
      </c>
      <c r="K6" s="2" t="str">
        <f t="shared" si="3"/>
        <v/>
      </c>
      <c r="L6" s="2" t="str">
        <f t="shared" si="4"/>
        <v/>
      </c>
      <c r="M6" s="2" t="str">
        <f t="shared" si="5"/>
        <v/>
      </c>
      <c r="N6" s="2" t="str">
        <f t="shared" si="6"/>
        <v>New Zealand</v>
      </c>
      <c r="O6" s="2" t="str">
        <f t="shared" si="7"/>
        <v>-36.8484597</v>
      </c>
      <c r="P6" s="2" t="str">
        <f t="shared" si="8"/>
        <v>174.7633315</v>
      </c>
    </row>
    <row r="7" spans="1:17" x14ac:dyDescent="0.3">
      <c r="A7" s="2" t="s">
        <v>93</v>
      </c>
      <c r="B7" s="2" t="s">
        <v>70</v>
      </c>
      <c r="C7" s="2" t="s">
        <v>82</v>
      </c>
      <c r="E7" s="4" t="s">
        <v>83</v>
      </c>
      <c r="F7" s="4" t="s">
        <v>87</v>
      </c>
      <c r="G7" s="4" t="s">
        <v>51</v>
      </c>
      <c r="H7" s="2" t="str">
        <f t="shared" si="0"/>
        <v/>
      </c>
      <c r="I7" s="2" t="str">
        <f t="shared" si="1"/>
        <v/>
      </c>
      <c r="J7" s="2" t="str">
        <f t="shared" si="2"/>
        <v/>
      </c>
      <c r="K7" s="2" t="str">
        <f t="shared" si="3"/>
        <v/>
      </c>
      <c r="L7" s="2" t="str">
        <f t="shared" si="4"/>
        <v/>
      </c>
      <c r="M7" s="2" t="str">
        <f t="shared" si="5"/>
        <v/>
      </c>
      <c r="N7" s="2" t="str">
        <f t="shared" si="6"/>
        <v>United States</v>
      </c>
      <c r="O7" s="2" t="str">
        <f t="shared" si="7"/>
        <v/>
      </c>
      <c r="P7" s="2" t="str">
        <f t="shared" si="8"/>
        <v/>
      </c>
    </row>
    <row r="12" spans="1:17" ht="21" x14ac:dyDescent="0.3">
      <c r="A12" s="8" t="s">
        <v>96</v>
      </c>
    </row>
    <row r="13" spans="1:17" x14ac:dyDescent="0.3">
      <c r="A13" s="2" t="s">
        <v>94</v>
      </c>
    </row>
  </sheetData>
  <autoFilter ref="A1:Q1" xr:uid="{605BF0C2-D6BD-4221-B9C2-DDC1EB4E9BDE}"/>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765E3-1043-4C73-894F-92766F097107}">
  <dimension ref="A1:Q20"/>
  <sheetViews>
    <sheetView workbookViewId="0">
      <selection activeCell="D23" sqref="D23"/>
    </sheetView>
  </sheetViews>
  <sheetFormatPr defaultRowHeight="14.4" x14ac:dyDescent="0.3"/>
  <cols>
    <col min="1" max="1" width="16.88671875" style="2" bestFit="1" customWidth="1"/>
    <col min="2" max="2" width="14.109375" style="2" bestFit="1" customWidth="1"/>
    <col min="3" max="3" width="26" style="2" bestFit="1" customWidth="1"/>
    <col min="4" max="4" width="27.33203125" style="2" bestFit="1" customWidth="1"/>
    <col min="5" max="5" width="24.88671875" style="2" bestFit="1" customWidth="1"/>
    <col min="6" max="6" width="21.21875" style="2" bestFit="1" customWidth="1"/>
    <col min="7" max="7" width="23.33203125" style="2" bestFit="1" customWidth="1"/>
    <col min="8" max="8" width="22.33203125" style="2" bestFit="1" customWidth="1"/>
    <col min="9" max="9" width="19" style="2" bestFit="1" customWidth="1"/>
    <col min="10" max="10" width="29.88671875" style="2" bestFit="1" customWidth="1"/>
    <col min="11" max="11" width="11.109375" style="2" bestFit="1" customWidth="1"/>
    <col min="12" max="12" width="18.33203125" style="2" bestFit="1" customWidth="1"/>
    <col min="13" max="13" width="15" style="2" bestFit="1" customWidth="1"/>
    <col min="14" max="14" width="12.44140625" style="2" bestFit="1" customWidth="1"/>
    <col min="15" max="15" width="12.88671875" style="2" bestFit="1" customWidth="1"/>
    <col min="16" max="16" width="15" style="2" bestFit="1" customWidth="1"/>
    <col min="17" max="17" width="23" style="2" bestFit="1" customWidth="1"/>
    <col min="18" max="16384" width="8.88671875" style="2"/>
  </cols>
  <sheetData>
    <row r="1" spans="1:17" x14ac:dyDescent="0.3">
      <c r="A1" s="1" t="s">
        <v>0</v>
      </c>
      <c r="B1" s="1" t="s">
        <v>1</v>
      </c>
      <c r="C1" s="1" t="s">
        <v>2</v>
      </c>
      <c r="D1" s="3" t="s">
        <v>3</v>
      </c>
      <c r="E1" s="3" t="s">
        <v>4</v>
      </c>
      <c r="F1" s="3" t="s">
        <v>5</v>
      </c>
      <c r="G1" s="3" t="s">
        <v>6</v>
      </c>
      <c r="H1" s="1" t="s">
        <v>7</v>
      </c>
      <c r="I1" s="1" t="s">
        <v>8</v>
      </c>
      <c r="J1" s="1" t="s">
        <v>9</v>
      </c>
      <c r="K1" s="1" t="s">
        <v>10</v>
      </c>
      <c r="L1" s="1" t="s">
        <v>11</v>
      </c>
      <c r="M1" s="1" t="s">
        <v>12</v>
      </c>
      <c r="N1" s="1" t="s">
        <v>13</v>
      </c>
      <c r="O1" s="1" t="s">
        <v>14</v>
      </c>
      <c r="P1" s="1" t="s">
        <v>15</v>
      </c>
      <c r="Q1" s="1" t="s">
        <v>16</v>
      </c>
    </row>
    <row r="2" spans="1:17" x14ac:dyDescent="0.3">
      <c r="A2" s="2" t="s">
        <v>93</v>
      </c>
      <c r="B2" s="2" t="s">
        <v>70</v>
      </c>
      <c r="C2" s="2" t="s">
        <v>71</v>
      </c>
      <c r="D2" s="4" t="s">
        <v>72</v>
      </c>
      <c r="E2" s="4" t="s">
        <v>73</v>
      </c>
      <c r="F2" s="4" t="s">
        <v>74</v>
      </c>
      <c r="G2" s="4" t="s">
        <v>44</v>
      </c>
      <c r="H2" s="2" t="str">
        <f t="shared" ref="H2:H14" si="0">TRIM(VLOOKUP(G2,locs,2,FALSE))</f>
        <v/>
      </c>
      <c r="I2" s="2" t="str">
        <f t="shared" ref="I2:I14" si="1">TRIM(VLOOKUP(G2,locs,3,FALSE))</f>
        <v/>
      </c>
      <c r="J2" s="2" t="str">
        <f t="shared" ref="J2:J14" si="2">TRIM(VLOOKUP(G2,locs,4,FALSE))</f>
        <v/>
      </c>
      <c r="K2" s="2" t="str">
        <f t="shared" ref="K2:K14" si="3">TRIM(VLOOKUP(G2,locs,5,FALSE))</f>
        <v/>
      </c>
      <c r="L2" s="2" t="str">
        <f t="shared" ref="L2:L14" si="4">TRIM(VLOOKUP(G2,locs,6,FALSE))</f>
        <v/>
      </c>
      <c r="M2" s="2" t="str">
        <f t="shared" ref="M2:M14" si="5">TRIM(VLOOKUP(G2,locs,7,FALSE))</f>
        <v/>
      </c>
      <c r="N2" s="2" t="str">
        <f t="shared" ref="N2:N14" si="6">TRIM(VLOOKUP(G2,locs,8,FALSE))</f>
        <v>South Korea</v>
      </c>
      <c r="O2" s="2" t="str">
        <f t="shared" ref="O2:O14" si="7">TRIM(VLOOKUP(G2,locs,9,FALSE))</f>
        <v>37.566535</v>
      </c>
      <c r="P2" s="2" t="str">
        <f t="shared" ref="P2:P14" si="8">TRIM(VLOOKUP(G2,locs,10,FALSE))</f>
        <v>126.9779692</v>
      </c>
    </row>
    <row r="3" spans="1:17" x14ac:dyDescent="0.3">
      <c r="A3" s="2" t="s">
        <v>93</v>
      </c>
      <c r="B3" s="2" t="s">
        <v>70</v>
      </c>
      <c r="C3" s="2" t="s">
        <v>71</v>
      </c>
      <c r="D3" s="4" t="s">
        <v>72</v>
      </c>
      <c r="E3" s="4" t="s">
        <v>73</v>
      </c>
      <c r="F3" s="4" t="s">
        <v>74</v>
      </c>
      <c r="G3" s="4" t="s">
        <v>64</v>
      </c>
      <c r="H3" s="2" t="str">
        <f t="shared" si="0"/>
        <v/>
      </c>
      <c r="I3" s="2" t="str">
        <f t="shared" si="1"/>
        <v/>
      </c>
      <c r="J3" s="2" t="str">
        <f t="shared" si="2"/>
        <v/>
      </c>
      <c r="K3" s="2" t="str">
        <f t="shared" si="3"/>
        <v/>
      </c>
      <c r="L3" s="2" t="str">
        <f t="shared" si="4"/>
        <v/>
      </c>
      <c r="M3" s="2" t="str">
        <f t="shared" si="5"/>
        <v/>
      </c>
      <c r="N3" s="2" t="str">
        <f t="shared" si="6"/>
        <v>United States</v>
      </c>
      <c r="O3" s="2" t="str">
        <f t="shared" si="7"/>
        <v>34.6124905</v>
      </c>
      <c r="P3" s="2" t="str">
        <f t="shared" si="8"/>
        <v>-117.8281193</v>
      </c>
    </row>
    <row r="4" spans="1:17" x14ac:dyDescent="0.3">
      <c r="A4" s="2" t="s">
        <v>93</v>
      </c>
      <c r="B4" s="2" t="s">
        <v>70</v>
      </c>
      <c r="C4" s="2" t="s">
        <v>71</v>
      </c>
      <c r="D4" s="4" t="s">
        <v>72</v>
      </c>
      <c r="E4" s="4" t="s">
        <v>73</v>
      </c>
      <c r="F4" s="4" t="s">
        <v>75</v>
      </c>
      <c r="G4" s="4" t="s">
        <v>49</v>
      </c>
      <c r="H4" s="2" t="str">
        <f t="shared" si="0"/>
        <v>LAKEWOOD</v>
      </c>
      <c r="I4" s="2" t="str">
        <f t="shared" si="1"/>
        <v/>
      </c>
      <c r="J4" s="2" t="str">
        <f t="shared" si="2"/>
        <v/>
      </c>
      <c r="K4" s="2" t="str">
        <f t="shared" si="3"/>
        <v/>
      </c>
      <c r="L4" s="2" t="str">
        <f t="shared" si="4"/>
        <v/>
      </c>
      <c r="M4" s="2" t="str">
        <f t="shared" si="5"/>
        <v/>
      </c>
      <c r="N4" s="2" t="str">
        <f t="shared" si="6"/>
        <v>United States</v>
      </c>
      <c r="O4" s="2" t="str">
        <f t="shared" si="7"/>
        <v>37.785961</v>
      </c>
      <c r="P4" s="2" t="str">
        <f t="shared" si="8"/>
        <v>-122.403305</v>
      </c>
    </row>
    <row r="5" spans="1:17" x14ac:dyDescent="0.3">
      <c r="A5" s="2" t="s">
        <v>93</v>
      </c>
      <c r="B5" s="2" t="s">
        <v>70</v>
      </c>
      <c r="C5" s="2" t="s">
        <v>71</v>
      </c>
      <c r="D5" s="4" t="s">
        <v>72</v>
      </c>
      <c r="E5" s="4" t="s">
        <v>73</v>
      </c>
      <c r="F5" s="4" t="s">
        <v>76</v>
      </c>
      <c r="G5" s="4" t="s">
        <v>65</v>
      </c>
      <c r="H5" s="2" t="str">
        <f t="shared" si="0"/>
        <v/>
      </c>
      <c r="I5" s="2" t="str">
        <f t="shared" si="1"/>
        <v/>
      </c>
      <c r="J5" s="2" t="str">
        <f t="shared" si="2"/>
        <v/>
      </c>
      <c r="K5" s="2" t="str">
        <f t="shared" si="3"/>
        <v/>
      </c>
      <c r="L5" s="2" t="str">
        <f t="shared" si="4"/>
        <v/>
      </c>
      <c r="M5" s="2" t="str">
        <f t="shared" si="5"/>
        <v/>
      </c>
      <c r="N5" s="2" t="str">
        <f t="shared" si="6"/>
        <v>United States</v>
      </c>
      <c r="O5" s="2" t="str">
        <f t="shared" si="7"/>
        <v>39.3586748</v>
      </c>
      <c r="P5" s="2" t="str">
        <f t="shared" si="8"/>
        <v>-83.4988069</v>
      </c>
    </row>
    <row r="6" spans="1:17" x14ac:dyDescent="0.3">
      <c r="A6" s="2" t="s">
        <v>93</v>
      </c>
      <c r="B6" s="2" t="s">
        <v>70</v>
      </c>
      <c r="C6" s="2" t="s">
        <v>71</v>
      </c>
      <c r="D6" s="4" t="s">
        <v>72</v>
      </c>
      <c r="E6" s="4" t="s">
        <v>73</v>
      </c>
      <c r="F6" s="4" t="s">
        <v>76</v>
      </c>
      <c r="G6" s="4" t="s">
        <v>66</v>
      </c>
      <c r="H6" s="2" t="str">
        <f t="shared" si="0"/>
        <v/>
      </c>
      <c r="I6" s="2" t="str">
        <f t="shared" si="1"/>
        <v/>
      </c>
      <c r="J6" s="2" t="str">
        <f t="shared" si="2"/>
        <v>3216 Regina Street</v>
      </c>
      <c r="K6" s="2" t="str">
        <f t="shared" si="3"/>
        <v>Regina</v>
      </c>
      <c r="L6" s="2" t="str">
        <f t="shared" si="4"/>
        <v>Saskatchewan</v>
      </c>
      <c r="M6" s="2" t="str">
        <f t="shared" si="5"/>
        <v>S4T 1J7</v>
      </c>
      <c r="N6" s="2" t="str">
        <f t="shared" si="6"/>
        <v>Canada</v>
      </c>
      <c r="O6" s="2" t="str">
        <f t="shared" si="7"/>
        <v>50.449147</v>
      </c>
      <c r="P6" s="2" t="str">
        <f t="shared" si="8"/>
        <v>-104.625229</v>
      </c>
    </row>
    <row r="7" spans="1:17" x14ac:dyDescent="0.3">
      <c r="A7" s="2" t="s">
        <v>93</v>
      </c>
      <c r="B7" s="2" t="s">
        <v>70</v>
      </c>
      <c r="C7" s="2" t="s">
        <v>71</v>
      </c>
      <c r="D7" s="4" t="s">
        <v>72</v>
      </c>
      <c r="E7" s="4" t="s">
        <v>73</v>
      </c>
      <c r="F7" s="4" t="s">
        <v>77</v>
      </c>
      <c r="G7" s="4" t="s">
        <v>26</v>
      </c>
      <c r="H7" s="2" t="str">
        <f t="shared" si="0"/>
        <v>AP009</v>
      </c>
      <c r="I7" s="2" t="str">
        <f t="shared" si="1"/>
        <v/>
      </c>
      <c r="J7" s="2" t="str">
        <f t="shared" si="2"/>
        <v>8 Dongbeiwang West Rd, Haidian</v>
      </c>
      <c r="K7" s="2" t="str">
        <f t="shared" si="3"/>
        <v>Beijing</v>
      </c>
      <c r="L7" s="2" t="str">
        <f t="shared" si="4"/>
        <v>Beijing Municipality</v>
      </c>
      <c r="M7" s="2" t="str">
        <f t="shared" si="5"/>
        <v/>
      </c>
      <c r="N7" s="2" t="str">
        <f t="shared" si="6"/>
        <v>China</v>
      </c>
      <c r="O7" s="2" t="str">
        <f t="shared" si="7"/>
        <v>40.03394</v>
      </c>
      <c r="P7" s="2" t="str">
        <f t="shared" si="8"/>
        <v>116.281378</v>
      </c>
    </row>
    <row r="8" spans="1:17" x14ac:dyDescent="0.3">
      <c r="A8" s="2" t="s">
        <v>93</v>
      </c>
      <c r="B8" s="2" t="s">
        <v>70</v>
      </c>
      <c r="C8" s="2" t="s">
        <v>71</v>
      </c>
      <c r="D8" s="4" t="s">
        <v>72</v>
      </c>
      <c r="E8" s="4" t="s">
        <v>73</v>
      </c>
      <c r="F8" s="4" t="s">
        <v>77</v>
      </c>
      <c r="G8" s="4" t="s">
        <v>33</v>
      </c>
      <c r="H8" s="2" t="str">
        <f t="shared" si="0"/>
        <v>LA011</v>
      </c>
      <c r="I8" s="2" t="str">
        <f t="shared" si="1"/>
        <v/>
      </c>
      <c r="J8" s="2" t="str">
        <f t="shared" si="2"/>
        <v>Avenida Tamanaco</v>
      </c>
      <c r="K8" s="2" t="str">
        <f t="shared" si="3"/>
        <v>Caracas</v>
      </c>
      <c r="L8" s="2" t="str">
        <f t="shared" si="4"/>
        <v>Capital District</v>
      </c>
      <c r="M8" s="2" t="str">
        <f t="shared" si="5"/>
        <v>7777</v>
      </c>
      <c r="N8" s="2" t="str">
        <f t="shared" si="6"/>
        <v>Venezuela</v>
      </c>
      <c r="O8" s="2" t="str">
        <f t="shared" si="7"/>
        <v>10.521569</v>
      </c>
      <c r="P8" s="2" t="str">
        <f t="shared" si="8"/>
        <v>-66.914291</v>
      </c>
    </row>
    <row r="9" spans="1:17" x14ac:dyDescent="0.3">
      <c r="A9" s="2" t="s">
        <v>93</v>
      </c>
      <c r="B9" s="2" t="s">
        <v>70</v>
      </c>
      <c r="C9" s="2" t="s">
        <v>71</v>
      </c>
      <c r="D9" s="4" t="s">
        <v>72</v>
      </c>
      <c r="E9" s="4" t="s">
        <v>73</v>
      </c>
      <c r="F9" s="4" t="s">
        <v>77</v>
      </c>
      <c r="G9" s="4" t="s">
        <v>39</v>
      </c>
      <c r="H9" s="2" t="str">
        <f t="shared" si="0"/>
        <v>NA020</v>
      </c>
      <c r="I9" s="2" t="str">
        <f t="shared" si="1"/>
        <v/>
      </c>
      <c r="J9" s="2" t="str">
        <f t="shared" si="2"/>
        <v>6100 Colwell Blvd</v>
      </c>
      <c r="K9" s="2" t="str">
        <f t="shared" si="3"/>
        <v>Dallas</v>
      </c>
      <c r="L9" s="2" t="str">
        <f t="shared" si="4"/>
        <v>Texas</v>
      </c>
      <c r="M9" s="2" t="str">
        <f t="shared" si="5"/>
        <v>75243</v>
      </c>
      <c r="N9" s="2" t="str">
        <f t="shared" si="6"/>
        <v>United States</v>
      </c>
      <c r="O9" s="2" t="str">
        <f t="shared" si="7"/>
        <v>34.60861328</v>
      </c>
      <c r="P9" s="2" t="str">
        <f t="shared" si="8"/>
        <v>-98.1528125</v>
      </c>
    </row>
    <row r="10" spans="1:17" x14ac:dyDescent="0.3">
      <c r="A10" s="2" t="s">
        <v>93</v>
      </c>
      <c r="B10" s="2" t="s">
        <v>70</v>
      </c>
      <c r="C10" s="2" t="s">
        <v>71</v>
      </c>
      <c r="D10" s="4" t="s">
        <v>72</v>
      </c>
      <c r="E10" s="4" t="s">
        <v>73</v>
      </c>
      <c r="F10" s="4" t="s">
        <v>78</v>
      </c>
      <c r="G10" s="4" t="s">
        <v>52</v>
      </c>
      <c r="H10" s="2" t="str">
        <f t="shared" si="0"/>
        <v/>
      </c>
      <c r="I10" s="2" t="str">
        <f t="shared" si="1"/>
        <v/>
      </c>
      <c r="J10" s="2" t="str">
        <f t="shared" si="2"/>
        <v>3216 Mississauga Street</v>
      </c>
      <c r="K10" s="2" t="str">
        <f t="shared" si="3"/>
        <v>Mississauga</v>
      </c>
      <c r="L10" s="2" t="str">
        <f t="shared" si="4"/>
        <v>Ontario</v>
      </c>
      <c r="M10" s="2" t="str">
        <f t="shared" si="5"/>
        <v>L4T 0A4</v>
      </c>
      <c r="N10" s="2" t="str">
        <f t="shared" si="6"/>
        <v>Canada</v>
      </c>
      <c r="O10" s="2" t="str">
        <f t="shared" si="7"/>
        <v>43.589</v>
      </c>
      <c r="P10" s="2" t="str">
        <f t="shared" si="8"/>
        <v>-79.6441</v>
      </c>
    </row>
    <row r="11" spans="1:17" x14ac:dyDescent="0.3">
      <c r="A11" s="2" t="s">
        <v>93</v>
      </c>
      <c r="B11" s="2" t="s">
        <v>70</v>
      </c>
      <c r="C11" s="2" t="s">
        <v>71</v>
      </c>
      <c r="D11" s="4" t="s">
        <v>72</v>
      </c>
      <c r="E11" s="4" t="s">
        <v>79</v>
      </c>
      <c r="F11" s="4" t="s">
        <v>80</v>
      </c>
      <c r="G11" s="4" t="s">
        <v>20</v>
      </c>
      <c r="H11" s="2" t="str">
        <f t="shared" si="0"/>
        <v/>
      </c>
      <c r="I11" s="2" t="str">
        <f t="shared" si="1"/>
        <v/>
      </c>
      <c r="J11" s="2" t="str">
        <f t="shared" si="2"/>
        <v/>
      </c>
      <c r="K11" s="2" t="str">
        <f t="shared" si="3"/>
        <v/>
      </c>
      <c r="L11" s="2" t="str">
        <f t="shared" si="4"/>
        <v/>
      </c>
      <c r="M11" s="2" t="str">
        <f t="shared" si="5"/>
        <v/>
      </c>
      <c r="N11" s="2" t="str">
        <f t="shared" si="6"/>
        <v>United States</v>
      </c>
      <c r="O11" s="2" t="str">
        <f t="shared" si="7"/>
        <v>33.983742</v>
      </c>
      <c r="P11" s="2" t="str">
        <f t="shared" si="8"/>
        <v>-83.3264669</v>
      </c>
    </row>
    <row r="12" spans="1:17" x14ac:dyDescent="0.3">
      <c r="A12" s="2" t="s">
        <v>93</v>
      </c>
      <c r="B12" s="2" t="s">
        <v>70</v>
      </c>
      <c r="C12" s="2" t="s">
        <v>71</v>
      </c>
      <c r="D12" s="4" t="s">
        <v>72</v>
      </c>
      <c r="E12" s="4" t="s">
        <v>79</v>
      </c>
      <c r="F12" s="4" t="s">
        <v>80</v>
      </c>
      <c r="G12" s="4" t="s">
        <v>60</v>
      </c>
      <c r="H12" s="2" t="str">
        <f t="shared" si="0"/>
        <v/>
      </c>
      <c r="I12" s="2" t="str">
        <f t="shared" si="1"/>
        <v/>
      </c>
      <c r="J12" s="2" t="str">
        <f t="shared" si="2"/>
        <v>10 Western Avenue</v>
      </c>
      <c r="K12" s="2" t="str">
        <f t="shared" si="3"/>
        <v>Albany</v>
      </c>
      <c r="L12" s="2" t="str">
        <f t="shared" si="4"/>
        <v>New York</v>
      </c>
      <c r="M12" s="2" t="str">
        <f t="shared" si="5"/>
        <v>12084</v>
      </c>
      <c r="N12" s="2" t="str">
        <f t="shared" si="6"/>
        <v>United States</v>
      </c>
      <c r="O12" s="2" t="str">
        <f t="shared" si="7"/>
        <v>41.424729</v>
      </c>
      <c r="P12" s="2" t="str">
        <f t="shared" si="8"/>
        <v>-122.384144</v>
      </c>
    </row>
    <row r="13" spans="1:17" x14ac:dyDescent="0.3">
      <c r="A13" s="2" t="s">
        <v>93</v>
      </c>
      <c r="B13" s="2" t="s">
        <v>70</v>
      </c>
      <c r="C13" s="2" t="s">
        <v>71</v>
      </c>
      <c r="D13" s="4" t="s">
        <v>72</v>
      </c>
      <c r="E13" s="4" t="s">
        <v>79</v>
      </c>
      <c r="F13" s="4" t="s">
        <v>80</v>
      </c>
      <c r="G13" s="4" t="s">
        <v>63</v>
      </c>
      <c r="H13" s="2" t="str">
        <f t="shared" si="0"/>
        <v/>
      </c>
      <c r="I13" s="2" t="str">
        <f t="shared" si="1"/>
        <v/>
      </c>
      <c r="J13" s="2" t="str">
        <f t="shared" si="2"/>
        <v>One Penn Plaza</v>
      </c>
      <c r="K13" s="2" t="str">
        <f t="shared" si="3"/>
        <v>New York</v>
      </c>
      <c r="L13" s="2" t="str">
        <f t="shared" si="4"/>
        <v>New York</v>
      </c>
      <c r="M13" s="2" t="str">
        <f t="shared" si="5"/>
        <v>10119</v>
      </c>
      <c r="N13" s="2" t="str">
        <f t="shared" si="6"/>
        <v>United States</v>
      </c>
      <c r="O13" s="2" t="str">
        <f t="shared" si="7"/>
        <v/>
      </c>
      <c r="P13" s="2" t="str">
        <f t="shared" si="8"/>
        <v/>
      </c>
    </row>
    <row r="14" spans="1:17" x14ac:dyDescent="0.3">
      <c r="A14" s="2" t="s">
        <v>93</v>
      </c>
      <c r="B14" s="2" t="s">
        <v>70</v>
      </c>
      <c r="C14" s="2" t="s">
        <v>71</v>
      </c>
      <c r="D14" s="4" t="s">
        <v>72</v>
      </c>
      <c r="E14" s="4" t="s">
        <v>79</v>
      </c>
      <c r="F14" s="4" t="s">
        <v>81</v>
      </c>
      <c r="G14" s="4" t="s">
        <v>57</v>
      </c>
      <c r="H14" s="2" t="str">
        <f t="shared" si="0"/>
        <v/>
      </c>
      <c r="I14" s="2" t="str">
        <f t="shared" si="1"/>
        <v/>
      </c>
      <c r="J14" s="2" t="str">
        <f t="shared" si="2"/>
        <v>37 Wall Street</v>
      </c>
      <c r="K14" s="2" t="str">
        <f t="shared" si="3"/>
        <v>New York</v>
      </c>
      <c r="L14" s="2" t="str">
        <f t="shared" si="4"/>
        <v>New York</v>
      </c>
      <c r="M14" s="2" t="str">
        <f t="shared" si="5"/>
        <v/>
      </c>
      <c r="N14" s="2" t="str">
        <f t="shared" si="6"/>
        <v>United States</v>
      </c>
      <c r="O14" s="2" t="str">
        <f t="shared" si="7"/>
        <v/>
      </c>
      <c r="P14" s="2" t="str">
        <f t="shared" si="8"/>
        <v/>
      </c>
    </row>
    <row r="19" spans="1:1" ht="21" x14ac:dyDescent="0.3">
      <c r="A19" s="8" t="s">
        <v>96</v>
      </c>
    </row>
    <row r="20" spans="1:1" x14ac:dyDescent="0.3">
      <c r="A20" s="2" t="s">
        <v>95</v>
      </c>
    </row>
  </sheetData>
  <autoFilter ref="A1:Q1" xr:uid="{F26765E3-1043-4C73-894F-92766F097107}"/>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C3886-B30F-458E-91CA-340EEFBCD193}">
  <dimension ref="A1:Q16"/>
  <sheetViews>
    <sheetView workbookViewId="0">
      <selection activeCell="B13" sqref="B13"/>
    </sheetView>
  </sheetViews>
  <sheetFormatPr defaultRowHeight="14.4" x14ac:dyDescent="0.3"/>
  <cols>
    <col min="1" max="1" width="16.88671875" style="2" bestFit="1" customWidth="1"/>
    <col min="2" max="2" width="14.109375" style="2" bestFit="1" customWidth="1"/>
    <col min="3" max="3" width="26" style="2" bestFit="1" customWidth="1"/>
    <col min="4" max="4" width="27.33203125" style="2" bestFit="1" customWidth="1"/>
    <col min="5" max="5" width="24.88671875" style="2" bestFit="1" customWidth="1"/>
    <col min="6" max="6" width="21.21875" style="2" bestFit="1" customWidth="1"/>
    <col min="7" max="7" width="23.33203125" style="2" bestFit="1" customWidth="1"/>
    <col min="8" max="8" width="22.33203125" style="2" bestFit="1" customWidth="1"/>
    <col min="9" max="9" width="19" style="2" bestFit="1" customWidth="1"/>
    <col min="10" max="10" width="29.88671875" style="2" bestFit="1" customWidth="1"/>
    <col min="11" max="11" width="11.109375" style="2" bestFit="1" customWidth="1"/>
    <col min="12" max="12" width="18.33203125" style="2" bestFit="1" customWidth="1"/>
    <col min="13" max="13" width="15" style="2" bestFit="1" customWidth="1"/>
    <col min="14" max="14" width="12.44140625" style="2" bestFit="1" customWidth="1"/>
    <col min="15" max="15" width="12.88671875" style="2" bestFit="1" customWidth="1"/>
    <col min="16" max="16" width="15" style="2" bestFit="1" customWidth="1"/>
    <col min="17" max="17" width="23" style="2" bestFit="1" customWidth="1"/>
    <col min="18" max="16384" width="8.88671875" style="2"/>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2" t="s">
        <v>93</v>
      </c>
      <c r="B2" s="7" t="s">
        <v>17</v>
      </c>
      <c r="C2" s="7" t="s">
        <v>18</v>
      </c>
      <c r="D2" s="7"/>
      <c r="E2" s="7" t="s">
        <v>19</v>
      </c>
      <c r="F2" s="7" t="str">
        <f t="shared" ref="F2:F5" si="0">N2</f>
        <v>Canada</v>
      </c>
      <c r="G2" s="4" t="s">
        <v>52</v>
      </c>
      <c r="H2" s="4"/>
      <c r="I2" s="4"/>
      <c r="J2" s="4" t="s">
        <v>53</v>
      </c>
      <c r="K2" s="4" t="s">
        <v>52</v>
      </c>
      <c r="L2" s="4" t="s">
        <v>54</v>
      </c>
      <c r="M2" s="4" t="s">
        <v>55</v>
      </c>
      <c r="N2" s="4" t="s">
        <v>56</v>
      </c>
      <c r="O2" s="4">
        <v>43.588999999999999</v>
      </c>
      <c r="P2" s="4">
        <v>-79.644099999999995</v>
      </c>
      <c r="Q2" s="4"/>
    </row>
    <row r="3" spans="1:17" x14ac:dyDescent="0.3">
      <c r="A3" s="2" t="s">
        <v>93</v>
      </c>
      <c r="B3" s="7" t="s">
        <v>17</v>
      </c>
      <c r="C3" s="7" t="s">
        <v>18</v>
      </c>
      <c r="D3" s="7"/>
      <c r="E3" s="7" t="s">
        <v>19</v>
      </c>
      <c r="F3" s="7" t="str">
        <f t="shared" si="0"/>
        <v>United States</v>
      </c>
      <c r="G3" s="4" t="s">
        <v>57</v>
      </c>
      <c r="H3" s="4"/>
      <c r="I3" s="4"/>
      <c r="J3" s="4" t="s">
        <v>58</v>
      </c>
      <c r="K3" s="4" t="s">
        <v>59</v>
      </c>
      <c r="L3" s="4" t="s">
        <v>59</v>
      </c>
      <c r="M3" s="4"/>
      <c r="N3" s="4" t="s">
        <v>21</v>
      </c>
      <c r="O3" s="4"/>
      <c r="P3" s="4"/>
      <c r="Q3" s="4"/>
    </row>
    <row r="4" spans="1:17" x14ac:dyDescent="0.3">
      <c r="A4" s="2" t="s">
        <v>93</v>
      </c>
      <c r="B4" s="7" t="s">
        <v>17</v>
      </c>
      <c r="C4" s="7" t="s">
        <v>18</v>
      </c>
      <c r="D4" s="7"/>
      <c r="E4" s="7" t="s">
        <v>19</v>
      </c>
      <c r="F4" s="7" t="str">
        <f t="shared" si="0"/>
        <v>United States</v>
      </c>
      <c r="G4" s="4" t="s">
        <v>60</v>
      </c>
      <c r="H4" s="4"/>
      <c r="I4" s="4"/>
      <c r="J4" s="4" t="s">
        <v>61</v>
      </c>
      <c r="K4" s="4" t="s">
        <v>62</v>
      </c>
      <c r="L4" s="4" t="s">
        <v>59</v>
      </c>
      <c r="M4" s="4">
        <v>12084</v>
      </c>
      <c r="N4" s="4" t="s">
        <v>21</v>
      </c>
      <c r="O4" s="4">
        <v>41.424728999999999</v>
      </c>
      <c r="P4" s="4">
        <v>-122.38414400000001</v>
      </c>
      <c r="Q4" s="4"/>
    </row>
    <row r="5" spans="1:17" x14ac:dyDescent="0.3">
      <c r="A5" s="2" t="s">
        <v>93</v>
      </c>
      <c r="B5" s="7" t="s">
        <v>17</v>
      </c>
      <c r="C5" s="7" t="s">
        <v>18</v>
      </c>
      <c r="D5" s="7"/>
      <c r="E5" s="7" t="s">
        <v>19</v>
      </c>
      <c r="F5" s="7" t="str">
        <f t="shared" si="0"/>
        <v>United States</v>
      </c>
      <c r="G5" s="4" t="s">
        <v>63</v>
      </c>
      <c r="H5" s="4"/>
      <c r="I5" s="4"/>
      <c r="J5" s="4" t="s">
        <v>63</v>
      </c>
      <c r="K5" s="4" t="s">
        <v>59</v>
      </c>
      <c r="L5" s="4" t="s">
        <v>59</v>
      </c>
      <c r="M5" s="4">
        <v>10119</v>
      </c>
      <c r="N5" s="4" t="s">
        <v>21</v>
      </c>
      <c r="O5" s="4"/>
      <c r="P5" s="4"/>
      <c r="Q5" s="4"/>
    </row>
    <row r="6" spans="1:17" x14ac:dyDescent="0.3">
      <c r="A6" s="2" t="s">
        <v>93</v>
      </c>
      <c r="B6" s="6" t="s">
        <v>70</v>
      </c>
      <c r="C6" s="6" t="s">
        <v>71</v>
      </c>
      <c r="D6" s="6" t="s">
        <v>72</v>
      </c>
      <c r="E6" s="6" t="s">
        <v>73</v>
      </c>
      <c r="F6" s="6" t="s">
        <v>74</v>
      </c>
      <c r="G6" s="5" t="s">
        <v>52</v>
      </c>
      <c r="H6" s="5" t="str">
        <f t="shared" ref="H6:H9" si="1">TRIM(VLOOKUP(G6,locs,2,FALSE))</f>
        <v/>
      </c>
      <c r="I6" s="5" t="str">
        <f t="shared" ref="I6:I9" si="2">TRIM(VLOOKUP(G6,locs,3,FALSE))</f>
        <v/>
      </c>
      <c r="J6" s="5" t="s">
        <v>53</v>
      </c>
      <c r="K6" s="5" t="s">
        <v>52</v>
      </c>
      <c r="L6" s="5" t="s">
        <v>54</v>
      </c>
      <c r="M6" s="5" t="s">
        <v>55</v>
      </c>
      <c r="N6" s="5" t="s">
        <v>56</v>
      </c>
      <c r="O6" s="5">
        <v>43.588999999999999</v>
      </c>
      <c r="P6" s="5">
        <v>-79.644099999999995</v>
      </c>
      <c r="Q6" s="5"/>
    </row>
    <row r="7" spans="1:17" x14ac:dyDescent="0.3">
      <c r="A7" s="2" t="s">
        <v>93</v>
      </c>
      <c r="B7" s="6" t="s">
        <v>70</v>
      </c>
      <c r="C7" s="6" t="s">
        <v>71</v>
      </c>
      <c r="D7" s="6" t="s">
        <v>72</v>
      </c>
      <c r="E7" s="6" t="s">
        <v>73</v>
      </c>
      <c r="F7" s="6" t="s">
        <v>74</v>
      </c>
      <c r="G7" s="5" t="s">
        <v>57</v>
      </c>
      <c r="H7" s="5" t="str">
        <f t="shared" si="1"/>
        <v/>
      </c>
      <c r="I7" s="5" t="str">
        <f t="shared" si="2"/>
        <v/>
      </c>
      <c r="J7" s="5" t="s">
        <v>58</v>
      </c>
      <c r="K7" s="5" t="s">
        <v>59</v>
      </c>
      <c r="L7" s="5" t="s">
        <v>59</v>
      </c>
      <c r="M7" s="5"/>
      <c r="N7" s="5" t="s">
        <v>21</v>
      </c>
      <c r="O7" s="5"/>
      <c r="P7" s="5"/>
      <c r="Q7" s="5"/>
    </row>
    <row r="8" spans="1:17" x14ac:dyDescent="0.3">
      <c r="A8" s="2" t="s">
        <v>93</v>
      </c>
      <c r="B8" s="6" t="s">
        <v>70</v>
      </c>
      <c r="C8" s="6" t="s">
        <v>71</v>
      </c>
      <c r="D8" s="6" t="s">
        <v>72</v>
      </c>
      <c r="E8" s="6" t="s">
        <v>73</v>
      </c>
      <c r="F8" s="6" t="s">
        <v>75</v>
      </c>
      <c r="G8" s="5" t="s">
        <v>60</v>
      </c>
      <c r="H8" s="5" t="str">
        <f t="shared" si="1"/>
        <v/>
      </c>
      <c r="I8" s="5" t="str">
        <f t="shared" si="2"/>
        <v/>
      </c>
      <c r="J8" s="5" t="s">
        <v>61</v>
      </c>
      <c r="K8" s="5" t="s">
        <v>62</v>
      </c>
      <c r="L8" s="5" t="s">
        <v>59</v>
      </c>
      <c r="M8" s="5">
        <v>12084</v>
      </c>
      <c r="N8" s="5" t="s">
        <v>21</v>
      </c>
      <c r="O8" s="5">
        <v>41.424728999999999</v>
      </c>
      <c r="P8" s="5">
        <v>-122.38414400000001</v>
      </c>
      <c r="Q8" s="5"/>
    </row>
    <row r="9" spans="1:17" x14ac:dyDescent="0.3">
      <c r="A9" s="2" t="s">
        <v>93</v>
      </c>
      <c r="B9" s="6" t="s">
        <v>70</v>
      </c>
      <c r="C9" s="6" t="s">
        <v>71</v>
      </c>
      <c r="D9" s="6" t="s">
        <v>72</v>
      </c>
      <c r="E9" s="6" t="s">
        <v>73</v>
      </c>
      <c r="F9" s="6" t="s">
        <v>76</v>
      </c>
      <c r="G9" s="5" t="s">
        <v>63</v>
      </c>
      <c r="H9" s="5" t="str">
        <f t="shared" si="1"/>
        <v/>
      </c>
      <c r="I9" s="5" t="str">
        <f t="shared" si="2"/>
        <v/>
      </c>
      <c r="J9" s="5" t="s">
        <v>63</v>
      </c>
      <c r="K9" s="5" t="s">
        <v>59</v>
      </c>
      <c r="L9" s="5" t="s">
        <v>59</v>
      </c>
      <c r="M9" s="5">
        <v>10119</v>
      </c>
      <c r="N9" s="5" t="s">
        <v>21</v>
      </c>
      <c r="O9" s="5"/>
      <c r="P9" s="5"/>
      <c r="Q9" s="5"/>
    </row>
    <row r="10" spans="1:17" x14ac:dyDescent="0.3">
      <c r="A10" s="2" t="s">
        <v>93</v>
      </c>
      <c r="B10" s="2" t="s">
        <v>70</v>
      </c>
      <c r="C10" s="2" t="s">
        <v>82</v>
      </c>
      <c r="D10" s="2" t="s">
        <v>83</v>
      </c>
      <c r="E10" s="2" t="s">
        <v>84</v>
      </c>
      <c r="G10" s="2" t="s">
        <v>52</v>
      </c>
      <c r="H10" s="2" t="str">
        <f t="shared" ref="H10:H13" si="3">TRIM(VLOOKUP(G10,locs,2,FALSE))</f>
        <v/>
      </c>
      <c r="I10" s="2" t="str">
        <f t="shared" ref="I10:I13" si="4">TRIM(VLOOKUP(G10,locs,3,FALSE))</f>
        <v/>
      </c>
      <c r="J10" s="2" t="s">
        <v>53</v>
      </c>
      <c r="K10" s="2" t="s">
        <v>52</v>
      </c>
      <c r="L10" s="2" t="s">
        <v>54</v>
      </c>
      <c r="M10" s="2" t="s">
        <v>55</v>
      </c>
      <c r="N10" s="2" t="s">
        <v>56</v>
      </c>
      <c r="O10" s="2">
        <v>43.588999999999999</v>
      </c>
      <c r="P10" s="2">
        <v>-79.644099999999995</v>
      </c>
    </row>
    <row r="11" spans="1:17" x14ac:dyDescent="0.3">
      <c r="A11" s="2" t="s">
        <v>93</v>
      </c>
      <c r="B11" s="2" t="s">
        <v>70</v>
      </c>
      <c r="C11" s="2" t="s">
        <v>82</v>
      </c>
      <c r="D11" s="2" t="s">
        <v>83</v>
      </c>
      <c r="E11" s="2" t="s">
        <v>85</v>
      </c>
      <c r="G11" s="2" t="s">
        <v>57</v>
      </c>
      <c r="H11" s="2" t="str">
        <f t="shared" si="3"/>
        <v/>
      </c>
      <c r="I11" s="2" t="str">
        <f t="shared" si="4"/>
        <v/>
      </c>
      <c r="J11" s="2" t="s">
        <v>58</v>
      </c>
      <c r="K11" s="2" t="s">
        <v>59</v>
      </c>
      <c r="L11" s="2" t="s">
        <v>59</v>
      </c>
      <c r="N11" s="2" t="s">
        <v>21</v>
      </c>
    </row>
    <row r="12" spans="1:17" x14ac:dyDescent="0.3">
      <c r="A12" s="2" t="s">
        <v>93</v>
      </c>
      <c r="B12" s="2" t="s">
        <v>70</v>
      </c>
      <c r="C12" s="2" t="s">
        <v>82</v>
      </c>
      <c r="D12" s="2" t="s">
        <v>83</v>
      </c>
      <c r="E12" s="2" t="s">
        <v>85</v>
      </c>
      <c r="G12" s="2" t="s">
        <v>60</v>
      </c>
      <c r="H12" s="2" t="str">
        <f t="shared" si="3"/>
        <v/>
      </c>
      <c r="I12" s="2" t="str">
        <f t="shared" si="4"/>
        <v/>
      </c>
      <c r="J12" s="2" t="s">
        <v>61</v>
      </c>
      <c r="K12" s="2" t="s">
        <v>62</v>
      </c>
      <c r="L12" s="2" t="s">
        <v>59</v>
      </c>
      <c r="M12" s="2">
        <v>12084</v>
      </c>
      <c r="N12" s="2" t="s">
        <v>21</v>
      </c>
      <c r="O12" s="2">
        <v>41.424728999999999</v>
      </c>
      <c r="P12" s="2">
        <v>-122.38414400000001</v>
      </c>
    </row>
    <row r="13" spans="1:17" x14ac:dyDescent="0.3">
      <c r="A13" s="2" t="s">
        <v>93</v>
      </c>
      <c r="B13" s="2" t="s">
        <v>70</v>
      </c>
      <c r="C13" s="2" t="s">
        <v>82</v>
      </c>
      <c r="D13" s="2" t="s">
        <v>83</v>
      </c>
      <c r="E13" s="2" t="s">
        <v>86</v>
      </c>
      <c r="G13" s="2" t="s">
        <v>63</v>
      </c>
      <c r="H13" s="2" t="str">
        <f t="shared" si="3"/>
        <v/>
      </c>
      <c r="I13" s="2" t="str">
        <f t="shared" si="4"/>
        <v/>
      </c>
      <c r="J13" s="2" t="s">
        <v>63</v>
      </c>
      <c r="K13" s="2" t="s">
        <v>59</v>
      </c>
      <c r="L13" s="2" t="s">
        <v>59</v>
      </c>
      <c r="M13" s="2">
        <v>10119</v>
      </c>
      <c r="N13" s="2" t="s">
        <v>21</v>
      </c>
    </row>
    <row r="15" spans="1:17" ht="21" x14ac:dyDescent="0.3">
      <c r="A15" s="8" t="s">
        <v>96</v>
      </c>
    </row>
    <row r="16" spans="1:17" ht="72" customHeight="1" x14ac:dyDescent="0.3">
      <c r="A16" s="9" t="s">
        <v>99</v>
      </c>
      <c r="B16" s="9"/>
      <c r="C16" s="9"/>
      <c r="D16" s="9"/>
      <c r="E16" s="9"/>
      <c r="F16" s="9"/>
      <c r="G16" s="9"/>
      <c r="H16" s="9"/>
      <c r="I16" s="9"/>
    </row>
  </sheetData>
  <autoFilter ref="A1:Q1" xr:uid="{C5DC3886-B30F-458E-91CA-340EEFBCD193}"/>
  <mergeCells count="1">
    <mergeCell ref="A16:I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574A2-3A9B-4453-9FE4-6B16BBF14C96}">
  <dimension ref="A1:Q19"/>
  <sheetViews>
    <sheetView workbookViewId="0">
      <selection activeCell="M2" sqref="M2"/>
    </sheetView>
  </sheetViews>
  <sheetFormatPr defaultRowHeight="14.4" x14ac:dyDescent="0.3"/>
  <cols>
    <col min="1" max="1" width="16.88671875" style="2" bestFit="1" customWidth="1"/>
    <col min="2" max="2" width="14.109375" style="2" bestFit="1" customWidth="1"/>
    <col min="3" max="3" width="26" style="2" bestFit="1" customWidth="1"/>
    <col min="4" max="4" width="27.33203125" style="2" bestFit="1" customWidth="1"/>
    <col min="5" max="5" width="24.88671875" style="2" bestFit="1" customWidth="1"/>
    <col min="6" max="6" width="21.21875" style="2" bestFit="1" customWidth="1"/>
    <col min="7" max="7" width="23.33203125" style="2" bestFit="1" customWidth="1"/>
    <col min="8" max="8" width="22.33203125" style="2" bestFit="1" customWidth="1"/>
    <col min="9" max="9" width="19" style="2" bestFit="1" customWidth="1"/>
    <col min="10" max="10" width="29.88671875" style="2" bestFit="1" customWidth="1"/>
    <col min="11" max="11" width="11.109375" style="2" bestFit="1" customWidth="1"/>
    <col min="12" max="12" width="18.33203125" style="2" bestFit="1" customWidth="1"/>
    <col min="13" max="13" width="15" style="2" bestFit="1" customWidth="1"/>
    <col min="14" max="14" width="12.44140625" style="2" bestFit="1" customWidth="1"/>
    <col min="15" max="15" width="12.88671875" style="2" bestFit="1" customWidth="1"/>
    <col min="16" max="16" width="15" style="2" bestFit="1" customWidth="1"/>
    <col min="17" max="17" width="23" style="2" bestFit="1" customWidth="1"/>
    <col min="18" max="16384" width="8.88671875" style="2"/>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2" t="s">
        <v>93</v>
      </c>
      <c r="B2" s="2" t="s">
        <v>70</v>
      </c>
      <c r="C2" s="2" t="s">
        <v>71</v>
      </c>
      <c r="D2" s="2" t="s">
        <v>72</v>
      </c>
      <c r="E2" s="2" t="s">
        <v>73</v>
      </c>
      <c r="F2" s="2" t="s">
        <v>74</v>
      </c>
      <c r="G2" s="7" t="s">
        <v>44</v>
      </c>
      <c r="H2" s="7" t="str">
        <f t="shared" ref="H2:H14" si="0">TRIM(VLOOKUP(G2,locs,2,FALSE))</f>
        <v/>
      </c>
      <c r="I2" s="4" t="str">
        <f t="shared" ref="I2:I14" si="1">TRIM(VLOOKUP(G2,locs,3,FALSE))</f>
        <v/>
      </c>
      <c r="J2" s="4" t="str">
        <f t="shared" ref="J2:J14" si="2">TRIM(VLOOKUP(G2,locs,4,FALSE))</f>
        <v/>
      </c>
      <c r="K2" s="4" t="str">
        <f t="shared" ref="K2:K14" si="3">TRIM(VLOOKUP(G2,locs,5,FALSE))</f>
        <v/>
      </c>
      <c r="L2" s="4" t="str">
        <f t="shared" ref="L2:L14" si="4">TRIM(VLOOKUP(G2,locs,6,FALSE))</f>
        <v/>
      </c>
      <c r="M2" s="4" t="str">
        <f t="shared" ref="M2:M14" si="5">TRIM(VLOOKUP(G2,locs,7,FALSE))</f>
        <v/>
      </c>
      <c r="N2" s="4" t="str">
        <f t="shared" ref="N2:N14" si="6">TRIM(VLOOKUP(G2,locs,8,FALSE))</f>
        <v>South Korea</v>
      </c>
      <c r="O2" s="4" t="str">
        <f t="shared" ref="O2:O14" si="7">TRIM(VLOOKUP(G2,locs,9,FALSE))</f>
        <v>37.566535</v>
      </c>
      <c r="P2" s="4" t="str">
        <f t="shared" ref="P2:P14" si="8">TRIM(VLOOKUP(G2,locs,10,FALSE))</f>
        <v>126.9779692</v>
      </c>
      <c r="Q2" s="4"/>
    </row>
    <row r="3" spans="1:17" x14ac:dyDescent="0.3">
      <c r="A3" s="2" t="s">
        <v>93</v>
      </c>
      <c r="B3" s="2" t="s">
        <v>70</v>
      </c>
      <c r="C3" s="2" t="s">
        <v>71</v>
      </c>
      <c r="D3" s="2" t="s">
        <v>72</v>
      </c>
      <c r="E3" s="2" t="s">
        <v>73</v>
      </c>
      <c r="F3" s="2" t="s">
        <v>74</v>
      </c>
      <c r="G3" s="7" t="s">
        <v>64</v>
      </c>
      <c r="H3" s="7" t="str">
        <f t="shared" si="0"/>
        <v/>
      </c>
      <c r="I3" s="4" t="str">
        <f t="shared" si="1"/>
        <v/>
      </c>
      <c r="J3" s="4" t="str">
        <f t="shared" si="2"/>
        <v/>
      </c>
      <c r="K3" s="4" t="str">
        <f t="shared" si="3"/>
        <v/>
      </c>
      <c r="L3" s="4" t="str">
        <f t="shared" si="4"/>
        <v/>
      </c>
      <c r="M3" s="4" t="str">
        <f t="shared" si="5"/>
        <v/>
      </c>
      <c r="N3" s="4" t="str">
        <f t="shared" si="6"/>
        <v>United States</v>
      </c>
      <c r="O3" s="4" t="str">
        <f t="shared" si="7"/>
        <v>34.6124905</v>
      </c>
      <c r="P3" s="4" t="str">
        <f t="shared" si="8"/>
        <v>-117.8281193</v>
      </c>
      <c r="Q3" s="4"/>
    </row>
    <row r="4" spans="1:17" x14ac:dyDescent="0.3">
      <c r="A4" s="2" t="s">
        <v>93</v>
      </c>
      <c r="B4" s="2" t="s">
        <v>70</v>
      </c>
      <c r="C4" s="2" t="s">
        <v>71</v>
      </c>
      <c r="D4" s="2" t="s">
        <v>72</v>
      </c>
      <c r="E4" s="2" t="s">
        <v>73</v>
      </c>
      <c r="F4" s="2" t="s">
        <v>75</v>
      </c>
      <c r="G4" s="7" t="s">
        <v>49</v>
      </c>
      <c r="H4" s="7"/>
      <c r="I4" s="4" t="str">
        <f t="shared" si="1"/>
        <v/>
      </c>
      <c r="J4" s="4" t="str">
        <f t="shared" si="2"/>
        <v/>
      </c>
      <c r="K4" s="4" t="str">
        <f t="shared" si="3"/>
        <v/>
      </c>
      <c r="L4" s="4" t="str">
        <f t="shared" si="4"/>
        <v/>
      </c>
      <c r="M4" s="4" t="str">
        <f t="shared" si="5"/>
        <v/>
      </c>
      <c r="N4" s="4" t="str">
        <f t="shared" si="6"/>
        <v>United States</v>
      </c>
      <c r="O4" s="4" t="str">
        <f t="shared" si="7"/>
        <v>37.785961</v>
      </c>
      <c r="P4" s="4" t="str">
        <f t="shared" si="8"/>
        <v>-122.403305</v>
      </c>
      <c r="Q4" s="4"/>
    </row>
    <row r="5" spans="1:17" x14ac:dyDescent="0.3">
      <c r="A5" s="2" t="s">
        <v>93</v>
      </c>
      <c r="B5" s="2" t="s">
        <v>70</v>
      </c>
      <c r="C5" s="2" t="s">
        <v>71</v>
      </c>
      <c r="D5" s="2" t="s">
        <v>72</v>
      </c>
      <c r="E5" s="2" t="s">
        <v>73</v>
      </c>
      <c r="F5" s="2" t="s">
        <v>76</v>
      </c>
      <c r="G5" s="7" t="s">
        <v>65</v>
      </c>
      <c r="H5" s="7" t="str">
        <f t="shared" si="0"/>
        <v/>
      </c>
      <c r="I5" s="4" t="str">
        <f t="shared" si="1"/>
        <v/>
      </c>
      <c r="J5" s="4" t="str">
        <f t="shared" si="2"/>
        <v/>
      </c>
      <c r="K5" s="4" t="str">
        <f t="shared" si="3"/>
        <v/>
      </c>
      <c r="L5" s="4" t="str">
        <f t="shared" si="4"/>
        <v/>
      </c>
      <c r="M5" s="4" t="str">
        <f t="shared" si="5"/>
        <v/>
      </c>
      <c r="N5" s="4" t="str">
        <f t="shared" si="6"/>
        <v>United States</v>
      </c>
      <c r="O5" s="4" t="str">
        <f t="shared" si="7"/>
        <v>39.3586748</v>
      </c>
      <c r="P5" s="4" t="str">
        <f t="shared" si="8"/>
        <v>-83.4988069</v>
      </c>
      <c r="Q5" s="4"/>
    </row>
    <row r="6" spans="1:17" x14ac:dyDescent="0.3">
      <c r="A6" s="2" t="s">
        <v>93</v>
      </c>
      <c r="B6" s="2" t="s">
        <v>70</v>
      </c>
      <c r="C6" s="2" t="s">
        <v>71</v>
      </c>
      <c r="D6" s="2" t="s">
        <v>72</v>
      </c>
      <c r="E6" s="2" t="s">
        <v>73</v>
      </c>
      <c r="F6" s="2" t="s">
        <v>76</v>
      </c>
      <c r="G6" s="7" t="s">
        <v>66</v>
      </c>
      <c r="H6" s="7" t="str">
        <f t="shared" si="0"/>
        <v/>
      </c>
      <c r="I6" s="4" t="str">
        <f t="shared" si="1"/>
        <v/>
      </c>
      <c r="J6" s="4" t="str">
        <f t="shared" si="2"/>
        <v>3216 Regina Street</v>
      </c>
      <c r="K6" s="4" t="str">
        <f t="shared" si="3"/>
        <v>Regina</v>
      </c>
      <c r="L6" s="4" t="str">
        <f t="shared" si="4"/>
        <v>Saskatchewan</v>
      </c>
      <c r="M6" s="4" t="str">
        <f t="shared" si="5"/>
        <v>S4T 1J7</v>
      </c>
      <c r="N6" s="4" t="str">
        <f t="shared" si="6"/>
        <v>Canada</v>
      </c>
      <c r="O6" s="4" t="str">
        <f t="shared" si="7"/>
        <v>50.449147</v>
      </c>
      <c r="P6" s="4" t="str">
        <f t="shared" si="8"/>
        <v>-104.625229</v>
      </c>
      <c r="Q6" s="4"/>
    </row>
    <row r="7" spans="1:17" x14ac:dyDescent="0.3">
      <c r="A7" s="2" t="s">
        <v>93</v>
      </c>
      <c r="B7" s="2" t="s">
        <v>70</v>
      </c>
      <c r="C7" s="2" t="s">
        <v>71</v>
      </c>
      <c r="D7" s="2" t="s">
        <v>72</v>
      </c>
      <c r="E7" s="2" t="s">
        <v>73</v>
      </c>
      <c r="F7" s="2" t="s">
        <v>77</v>
      </c>
      <c r="G7" s="7" t="s">
        <v>26</v>
      </c>
      <c r="H7" s="7" t="str">
        <f t="shared" si="0"/>
        <v>AP009</v>
      </c>
      <c r="I7" s="4" t="str">
        <f t="shared" si="1"/>
        <v/>
      </c>
      <c r="J7" s="4" t="str">
        <f t="shared" si="2"/>
        <v>8 Dongbeiwang West Rd, Haidian</v>
      </c>
      <c r="K7" s="4" t="str">
        <f t="shared" si="3"/>
        <v>Beijing</v>
      </c>
      <c r="L7" s="4" t="str">
        <f t="shared" si="4"/>
        <v>Beijing Municipality</v>
      </c>
      <c r="M7" s="4" t="str">
        <f t="shared" si="5"/>
        <v/>
      </c>
      <c r="N7" s="4" t="str">
        <f t="shared" si="6"/>
        <v>China</v>
      </c>
      <c r="O7" s="4" t="str">
        <f t="shared" si="7"/>
        <v>40.03394</v>
      </c>
      <c r="P7" s="4" t="str">
        <f t="shared" si="8"/>
        <v>116.281378</v>
      </c>
      <c r="Q7" s="4"/>
    </row>
    <row r="8" spans="1:17" x14ac:dyDescent="0.3">
      <c r="A8" s="2" t="s">
        <v>93</v>
      </c>
      <c r="B8" s="2" t="s">
        <v>70</v>
      </c>
      <c r="C8" s="2" t="s">
        <v>71</v>
      </c>
      <c r="D8" s="2" t="s">
        <v>72</v>
      </c>
      <c r="E8" s="2" t="s">
        <v>73</v>
      </c>
      <c r="F8" s="2" t="s">
        <v>77</v>
      </c>
      <c r="G8" s="7" t="s">
        <v>33</v>
      </c>
      <c r="H8" s="7" t="str">
        <f t="shared" si="0"/>
        <v>LA011</v>
      </c>
      <c r="I8" s="4" t="str">
        <f t="shared" si="1"/>
        <v/>
      </c>
      <c r="J8" s="4" t="str">
        <f t="shared" si="2"/>
        <v>Avenida Tamanaco</v>
      </c>
      <c r="K8" s="4" t="str">
        <f t="shared" si="3"/>
        <v>Caracas</v>
      </c>
      <c r="L8" s="4" t="str">
        <f t="shared" si="4"/>
        <v>Capital District</v>
      </c>
      <c r="M8" s="4" t="str">
        <f t="shared" si="5"/>
        <v>7777</v>
      </c>
      <c r="N8" s="4" t="str">
        <f t="shared" si="6"/>
        <v>Venezuela</v>
      </c>
      <c r="O8" s="4" t="str">
        <f t="shared" si="7"/>
        <v>10.521569</v>
      </c>
      <c r="P8" s="4" t="str">
        <f t="shared" si="8"/>
        <v>-66.914291</v>
      </c>
      <c r="Q8" s="4"/>
    </row>
    <row r="9" spans="1:17" x14ac:dyDescent="0.3">
      <c r="A9" s="2" t="s">
        <v>93</v>
      </c>
      <c r="B9" s="2" t="s">
        <v>70</v>
      </c>
      <c r="C9" s="2" t="s">
        <v>71</v>
      </c>
      <c r="D9" s="2" t="s">
        <v>72</v>
      </c>
      <c r="E9" s="2" t="s">
        <v>73</v>
      </c>
      <c r="F9" s="2" t="s">
        <v>77</v>
      </c>
      <c r="G9" s="7" t="s">
        <v>39</v>
      </c>
      <c r="H9" s="7" t="str">
        <f t="shared" si="0"/>
        <v>NA020</v>
      </c>
      <c r="I9" s="4" t="str">
        <f t="shared" si="1"/>
        <v/>
      </c>
      <c r="J9" s="4" t="str">
        <f t="shared" si="2"/>
        <v>6100 Colwell Blvd</v>
      </c>
      <c r="K9" s="4" t="str">
        <f t="shared" si="3"/>
        <v>Dallas</v>
      </c>
      <c r="L9" s="4" t="str">
        <f t="shared" si="4"/>
        <v>Texas</v>
      </c>
      <c r="M9" s="4" t="str">
        <f t="shared" si="5"/>
        <v>75243</v>
      </c>
      <c r="N9" s="4" t="str">
        <f t="shared" si="6"/>
        <v>United States</v>
      </c>
      <c r="O9" s="4" t="str">
        <f t="shared" si="7"/>
        <v>34.60861328</v>
      </c>
      <c r="P9" s="4" t="str">
        <f t="shared" si="8"/>
        <v>-98.1528125</v>
      </c>
      <c r="Q9" s="4"/>
    </row>
    <row r="10" spans="1:17" x14ac:dyDescent="0.3">
      <c r="A10" s="2" t="s">
        <v>93</v>
      </c>
      <c r="B10" s="2" t="s">
        <v>70</v>
      </c>
      <c r="C10" s="2" t="s">
        <v>71</v>
      </c>
      <c r="D10" s="2" t="s">
        <v>72</v>
      </c>
      <c r="E10" s="2" t="s">
        <v>73</v>
      </c>
      <c r="F10" s="2" t="s">
        <v>78</v>
      </c>
      <c r="G10" s="7" t="s">
        <v>52</v>
      </c>
      <c r="H10" s="7" t="str">
        <f t="shared" si="0"/>
        <v/>
      </c>
      <c r="I10" s="4" t="str">
        <f t="shared" si="1"/>
        <v/>
      </c>
      <c r="J10" s="4" t="str">
        <f t="shared" si="2"/>
        <v>3216 Mississauga Street</v>
      </c>
      <c r="K10" s="4" t="str">
        <f t="shared" si="3"/>
        <v>Mississauga</v>
      </c>
      <c r="L10" s="4" t="str">
        <f t="shared" si="4"/>
        <v>Ontario</v>
      </c>
      <c r="M10" s="4" t="str">
        <f t="shared" si="5"/>
        <v>L4T 0A4</v>
      </c>
      <c r="N10" s="4" t="str">
        <f t="shared" si="6"/>
        <v>Canada</v>
      </c>
      <c r="O10" s="4" t="str">
        <f t="shared" si="7"/>
        <v>43.589</v>
      </c>
      <c r="P10" s="4" t="str">
        <f t="shared" si="8"/>
        <v>-79.6441</v>
      </c>
      <c r="Q10" s="4"/>
    </row>
    <row r="11" spans="1:17" x14ac:dyDescent="0.3">
      <c r="A11" s="2" t="s">
        <v>93</v>
      </c>
      <c r="B11" s="2" t="s">
        <v>70</v>
      </c>
      <c r="C11" s="2" t="s">
        <v>71</v>
      </c>
      <c r="D11" s="2" t="s">
        <v>72</v>
      </c>
      <c r="E11" s="2" t="s">
        <v>79</v>
      </c>
      <c r="F11" s="2" t="s">
        <v>80</v>
      </c>
      <c r="G11" s="7" t="s">
        <v>20</v>
      </c>
      <c r="H11" s="7" t="str">
        <f t="shared" si="0"/>
        <v/>
      </c>
      <c r="I11" s="4" t="str">
        <f t="shared" si="1"/>
        <v/>
      </c>
      <c r="J11" s="4" t="str">
        <f t="shared" si="2"/>
        <v/>
      </c>
      <c r="K11" s="4" t="str">
        <f t="shared" si="3"/>
        <v/>
      </c>
      <c r="L11" s="4" t="str">
        <f t="shared" si="4"/>
        <v/>
      </c>
      <c r="M11" s="4" t="str">
        <f t="shared" si="5"/>
        <v/>
      </c>
      <c r="N11" s="4" t="str">
        <f t="shared" si="6"/>
        <v>United States</v>
      </c>
      <c r="O11" s="4" t="str">
        <f t="shared" si="7"/>
        <v>33.983742</v>
      </c>
      <c r="P11" s="4" t="str">
        <f t="shared" si="8"/>
        <v>-83.3264669</v>
      </c>
      <c r="Q11" s="4"/>
    </row>
    <row r="12" spans="1:17" x14ac:dyDescent="0.3">
      <c r="A12" s="2" t="s">
        <v>93</v>
      </c>
      <c r="B12" s="2" t="s">
        <v>70</v>
      </c>
      <c r="C12" s="2" t="s">
        <v>71</v>
      </c>
      <c r="D12" s="2" t="s">
        <v>72</v>
      </c>
      <c r="E12" s="2" t="s">
        <v>79</v>
      </c>
      <c r="F12" s="2" t="s">
        <v>80</v>
      </c>
      <c r="G12" s="7" t="s">
        <v>60</v>
      </c>
      <c r="H12" s="7" t="str">
        <f t="shared" si="0"/>
        <v/>
      </c>
      <c r="I12" s="4" t="str">
        <f t="shared" si="1"/>
        <v/>
      </c>
      <c r="J12" s="4" t="str">
        <f t="shared" si="2"/>
        <v>10 Western Avenue</v>
      </c>
      <c r="K12" s="4" t="str">
        <f t="shared" si="3"/>
        <v>Albany</v>
      </c>
      <c r="L12" s="4" t="str">
        <f t="shared" si="4"/>
        <v>New York</v>
      </c>
      <c r="M12" s="4" t="str">
        <f t="shared" si="5"/>
        <v>12084</v>
      </c>
      <c r="N12" s="4" t="str">
        <f t="shared" si="6"/>
        <v>United States</v>
      </c>
      <c r="O12" s="4" t="str">
        <f t="shared" si="7"/>
        <v>41.424729</v>
      </c>
      <c r="P12" s="4" t="str">
        <f t="shared" si="8"/>
        <v>-122.384144</v>
      </c>
      <c r="Q12" s="4"/>
    </row>
    <row r="13" spans="1:17" x14ac:dyDescent="0.3">
      <c r="A13" s="2" t="s">
        <v>93</v>
      </c>
      <c r="B13" s="2" t="s">
        <v>70</v>
      </c>
      <c r="C13" s="2" t="s">
        <v>71</v>
      </c>
      <c r="D13" s="2" t="s">
        <v>72</v>
      </c>
      <c r="E13" s="2" t="s">
        <v>79</v>
      </c>
      <c r="F13" s="2" t="s">
        <v>80</v>
      </c>
      <c r="G13" s="7" t="s">
        <v>63</v>
      </c>
      <c r="H13" s="7" t="str">
        <f t="shared" si="0"/>
        <v/>
      </c>
      <c r="I13" s="4" t="str">
        <f t="shared" si="1"/>
        <v/>
      </c>
      <c r="J13" s="4" t="str">
        <f t="shared" si="2"/>
        <v>One Penn Plaza</v>
      </c>
      <c r="K13" s="4" t="str">
        <f t="shared" si="3"/>
        <v>New York</v>
      </c>
      <c r="L13" s="4" t="str">
        <f t="shared" si="4"/>
        <v>New York</v>
      </c>
      <c r="M13" s="4" t="str">
        <f t="shared" si="5"/>
        <v>10119</v>
      </c>
      <c r="N13" s="4" t="str">
        <f t="shared" si="6"/>
        <v>United States</v>
      </c>
      <c r="O13" s="4" t="str">
        <f t="shared" si="7"/>
        <v/>
      </c>
      <c r="P13" s="4" t="str">
        <f t="shared" si="8"/>
        <v/>
      </c>
      <c r="Q13" s="4"/>
    </row>
    <row r="14" spans="1:17" x14ac:dyDescent="0.3">
      <c r="A14" s="2" t="s">
        <v>93</v>
      </c>
      <c r="B14" s="2" t="s">
        <v>70</v>
      </c>
      <c r="C14" s="2" t="s">
        <v>71</v>
      </c>
      <c r="D14" s="2" t="s">
        <v>72</v>
      </c>
      <c r="E14" s="2" t="s">
        <v>79</v>
      </c>
      <c r="F14" s="2" t="s">
        <v>81</v>
      </c>
      <c r="G14" s="7" t="s">
        <v>57</v>
      </c>
      <c r="H14" s="7" t="str">
        <f t="shared" si="0"/>
        <v/>
      </c>
      <c r="I14" s="4" t="str">
        <f t="shared" si="1"/>
        <v/>
      </c>
      <c r="J14" s="4" t="str">
        <f t="shared" si="2"/>
        <v>37 Wall Street</v>
      </c>
      <c r="K14" s="4" t="str">
        <f t="shared" si="3"/>
        <v>New York</v>
      </c>
      <c r="L14" s="4" t="str">
        <f t="shared" si="4"/>
        <v>New York</v>
      </c>
      <c r="M14" s="4" t="str">
        <f t="shared" si="5"/>
        <v/>
      </c>
      <c r="N14" s="4" t="str">
        <f t="shared" si="6"/>
        <v>United States</v>
      </c>
      <c r="O14" s="4" t="str">
        <f t="shared" si="7"/>
        <v/>
      </c>
      <c r="P14" s="4" t="str">
        <f t="shared" si="8"/>
        <v/>
      </c>
      <c r="Q14" s="4"/>
    </row>
    <row r="18" spans="1:10" ht="21" x14ac:dyDescent="0.3">
      <c r="A18" s="8" t="s">
        <v>96</v>
      </c>
    </row>
    <row r="19" spans="1:10" ht="48" customHeight="1" x14ac:dyDescent="0.3">
      <c r="A19" s="9" t="s">
        <v>97</v>
      </c>
      <c r="B19" s="9"/>
      <c r="C19" s="9"/>
      <c r="D19" s="9"/>
      <c r="E19" s="9"/>
      <c r="F19" s="9"/>
      <c r="G19" s="9"/>
      <c r="H19" s="9"/>
      <c r="I19" s="9"/>
      <c r="J19" s="9"/>
    </row>
  </sheetData>
  <autoFilter ref="A1:Q1" xr:uid="{43E574A2-3A9B-4453-9FE4-6B16BBF14C96}"/>
  <mergeCells count="1">
    <mergeCell ref="A19:J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B07C-B7DA-4E66-A54F-039A1C9581E7}">
  <dimension ref="A1:Q19"/>
  <sheetViews>
    <sheetView workbookViewId="0">
      <selection activeCell="F15" sqref="F15"/>
    </sheetView>
  </sheetViews>
  <sheetFormatPr defaultRowHeight="14.4" x14ac:dyDescent="0.3"/>
  <cols>
    <col min="1" max="1" width="16.88671875" style="2" bestFit="1" customWidth="1"/>
    <col min="2" max="2" width="14.109375" style="2" bestFit="1" customWidth="1"/>
    <col min="3" max="3" width="26" style="2" bestFit="1" customWidth="1"/>
    <col min="4" max="4" width="27.33203125" style="2" bestFit="1" customWidth="1"/>
    <col min="5" max="5" width="24.88671875" style="2" bestFit="1" customWidth="1"/>
    <col min="6" max="6" width="21.21875" style="2" bestFit="1" customWidth="1"/>
    <col min="7" max="7" width="23.33203125" style="2" bestFit="1" customWidth="1"/>
    <col min="8" max="8" width="22.33203125" style="2" bestFit="1" customWidth="1"/>
    <col min="9" max="9" width="19" style="2" bestFit="1" customWidth="1"/>
    <col min="10" max="10" width="29.88671875" style="2" bestFit="1" customWidth="1"/>
    <col min="11" max="11" width="11.109375" style="2" bestFit="1" customWidth="1"/>
    <col min="12" max="12" width="18.33203125" style="2" bestFit="1" customWidth="1"/>
    <col min="13" max="13" width="15" style="2" bestFit="1" customWidth="1"/>
    <col min="14" max="14" width="12.44140625" style="2" bestFit="1" customWidth="1"/>
    <col min="15" max="15" width="12.88671875" style="2" bestFit="1" customWidth="1"/>
    <col min="16" max="16" width="15" style="2" bestFit="1" customWidth="1"/>
    <col min="17" max="17" width="23" style="2" bestFit="1" customWidth="1"/>
    <col min="18" max="16384" width="8.88671875" style="2"/>
  </cols>
  <sheetData>
    <row r="1" spans="1:17" x14ac:dyDescent="0.3">
      <c r="A1" s="1" t="s">
        <v>0</v>
      </c>
      <c r="B1" s="3" t="s">
        <v>1</v>
      </c>
      <c r="C1" s="3" t="s">
        <v>2</v>
      </c>
      <c r="D1" s="3" t="s">
        <v>3</v>
      </c>
      <c r="E1" s="3" t="s">
        <v>4</v>
      </c>
      <c r="F1" s="3" t="s">
        <v>5</v>
      </c>
      <c r="G1" s="3" t="s">
        <v>6</v>
      </c>
      <c r="H1" s="1" t="s">
        <v>7</v>
      </c>
      <c r="I1" s="1" t="s">
        <v>8</v>
      </c>
      <c r="J1" s="1" t="s">
        <v>9</v>
      </c>
      <c r="K1" s="1" t="s">
        <v>10</v>
      </c>
      <c r="L1" s="1" t="s">
        <v>11</v>
      </c>
      <c r="M1" s="1" t="s">
        <v>12</v>
      </c>
      <c r="N1" s="1" t="s">
        <v>13</v>
      </c>
      <c r="O1" s="1" t="s">
        <v>14</v>
      </c>
      <c r="P1" s="1" t="s">
        <v>15</v>
      </c>
      <c r="Q1" s="1" t="s">
        <v>16</v>
      </c>
    </row>
    <row r="2" spans="1:17" x14ac:dyDescent="0.3">
      <c r="A2" s="2" t="s">
        <v>93</v>
      </c>
      <c r="B2" s="4" t="s">
        <v>70</v>
      </c>
      <c r="C2" s="4" t="s">
        <v>71</v>
      </c>
      <c r="D2" s="4" t="s">
        <v>72</v>
      </c>
      <c r="E2" s="4" t="s">
        <v>73</v>
      </c>
      <c r="F2" s="4" t="s">
        <v>74</v>
      </c>
      <c r="G2" s="4" t="s">
        <v>44</v>
      </c>
      <c r="H2" s="2" t="str">
        <f t="shared" ref="H2:H14" si="0">TRIM(VLOOKUP(G2,locs,2,FALSE))</f>
        <v/>
      </c>
      <c r="I2" s="2" t="str">
        <f t="shared" ref="I2:I14" si="1">TRIM(VLOOKUP(G2,locs,3,FALSE))</f>
        <v/>
      </c>
      <c r="J2" s="2" t="str">
        <f t="shared" ref="J2:J14" si="2">TRIM(VLOOKUP(G2,locs,4,FALSE))</f>
        <v/>
      </c>
      <c r="K2" s="2" t="str">
        <f t="shared" ref="K2:K14" si="3">TRIM(VLOOKUP(G2,locs,5,FALSE))</f>
        <v/>
      </c>
      <c r="L2" s="2" t="str">
        <f t="shared" ref="L2:L14" si="4">TRIM(VLOOKUP(G2,locs,6,FALSE))</f>
        <v/>
      </c>
      <c r="M2" s="2" t="str">
        <f t="shared" ref="M2:M14" si="5">TRIM(VLOOKUP(G2,locs,7,FALSE))</f>
        <v/>
      </c>
      <c r="N2" s="2" t="str">
        <f t="shared" ref="N2:N14" si="6">TRIM(VLOOKUP(G2,locs,8,FALSE))</f>
        <v>South Korea</v>
      </c>
      <c r="O2" s="2" t="str">
        <f t="shared" ref="O2:O14" si="7">TRIM(VLOOKUP(G2,locs,9,FALSE))</f>
        <v>37.566535</v>
      </c>
      <c r="P2" s="2" t="str">
        <f t="shared" ref="P2:P14" si="8">TRIM(VLOOKUP(G2,locs,10,FALSE))</f>
        <v>126.9779692</v>
      </c>
    </row>
    <row r="3" spans="1:17" x14ac:dyDescent="0.3">
      <c r="A3" s="2" t="s">
        <v>93</v>
      </c>
      <c r="B3" s="4" t="s">
        <v>70</v>
      </c>
      <c r="C3" s="4" t="s">
        <v>71</v>
      </c>
      <c r="D3" s="4" t="s">
        <v>72</v>
      </c>
      <c r="E3" s="4" t="s">
        <v>73</v>
      </c>
      <c r="F3" s="4" t="s">
        <v>74</v>
      </c>
      <c r="G3" s="4" t="s">
        <v>64</v>
      </c>
      <c r="H3" s="2" t="str">
        <f t="shared" si="0"/>
        <v/>
      </c>
      <c r="I3" s="2" t="str">
        <f t="shared" si="1"/>
        <v/>
      </c>
      <c r="J3" s="2" t="str">
        <f t="shared" si="2"/>
        <v/>
      </c>
      <c r="K3" s="2" t="str">
        <f t="shared" si="3"/>
        <v/>
      </c>
      <c r="L3" s="2" t="str">
        <f t="shared" si="4"/>
        <v/>
      </c>
      <c r="M3" s="2" t="str">
        <f t="shared" si="5"/>
        <v/>
      </c>
      <c r="N3" s="2" t="str">
        <f t="shared" si="6"/>
        <v>United States</v>
      </c>
      <c r="O3" s="2" t="str">
        <f t="shared" si="7"/>
        <v>34.6124905</v>
      </c>
      <c r="P3" s="2" t="str">
        <f t="shared" si="8"/>
        <v>-117.8281193</v>
      </c>
    </row>
    <row r="4" spans="1:17" x14ac:dyDescent="0.3">
      <c r="A4" s="2" t="s">
        <v>93</v>
      </c>
      <c r="B4" s="4" t="s">
        <v>70</v>
      </c>
      <c r="C4" s="4" t="s">
        <v>71</v>
      </c>
      <c r="D4" s="4" t="s">
        <v>72</v>
      </c>
      <c r="E4" s="4" t="s">
        <v>73</v>
      </c>
      <c r="F4" s="4" t="s">
        <v>75</v>
      </c>
      <c r="G4" s="4" t="s">
        <v>49</v>
      </c>
      <c r="I4" s="2" t="str">
        <f t="shared" si="1"/>
        <v/>
      </c>
      <c r="J4" s="2" t="str">
        <f t="shared" si="2"/>
        <v/>
      </c>
      <c r="K4" s="2" t="str">
        <f t="shared" si="3"/>
        <v/>
      </c>
      <c r="L4" s="2" t="str">
        <f t="shared" si="4"/>
        <v/>
      </c>
      <c r="M4" s="2" t="str">
        <f t="shared" si="5"/>
        <v/>
      </c>
      <c r="N4" s="2" t="str">
        <f t="shared" si="6"/>
        <v>United States</v>
      </c>
      <c r="O4" s="2" t="str">
        <f t="shared" si="7"/>
        <v>37.785961</v>
      </c>
      <c r="P4" s="2" t="str">
        <f t="shared" si="8"/>
        <v>-122.403305</v>
      </c>
    </row>
    <row r="5" spans="1:17" x14ac:dyDescent="0.3">
      <c r="A5" s="2" t="s">
        <v>93</v>
      </c>
      <c r="B5" s="4" t="s">
        <v>70</v>
      </c>
      <c r="C5" s="4" t="s">
        <v>71</v>
      </c>
      <c r="D5" s="4" t="s">
        <v>72</v>
      </c>
      <c r="E5" s="4" t="s">
        <v>73</v>
      </c>
      <c r="F5" s="4" t="s">
        <v>76</v>
      </c>
      <c r="G5" s="4" t="s">
        <v>65</v>
      </c>
      <c r="H5" s="2" t="str">
        <f t="shared" si="0"/>
        <v/>
      </c>
      <c r="I5" s="2" t="str">
        <f t="shared" si="1"/>
        <v/>
      </c>
      <c r="J5" s="2" t="str">
        <f t="shared" si="2"/>
        <v/>
      </c>
      <c r="K5" s="2" t="str">
        <f t="shared" si="3"/>
        <v/>
      </c>
      <c r="L5" s="2" t="str">
        <f t="shared" si="4"/>
        <v/>
      </c>
      <c r="M5" s="2" t="str">
        <f t="shared" si="5"/>
        <v/>
      </c>
      <c r="N5" s="2" t="str">
        <f t="shared" si="6"/>
        <v>United States</v>
      </c>
      <c r="O5" s="2" t="str">
        <f t="shared" si="7"/>
        <v>39.3586748</v>
      </c>
      <c r="P5" s="2" t="str">
        <f t="shared" si="8"/>
        <v>-83.4988069</v>
      </c>
    </row>
    <row r="6" spans="1:17" x14ac:dyDescent="0.3">
      <c r="A6" s="2" t="s">
        <v>93</v>
      </c>
      <c r="B6" s="4" t="s">
        <v>70</v>
      </c>
      <c r="C6" s="4" t="s">
        <v>71</v>
      </c>
      <c r="D6" s="4" t="s">
        <v>72</v>
      </c>
      <c r="E6" s="4" t="s">
        <v>73</v>
      </c>
      <c r="F6" s="4" t="s">
        <v>76</v>
      </c>
      <c r="G6" s="4" t="s">
        <v>66</v>
      </c>
      <c r="H6" s="2" t="str">
        <f t="shared" si="0"/>
        <v/>
      </c>
      <c r="I6" s="2" t="str">
        <f t="shared" si="1"/>
        <v/>
      </c>
      <c r="J6" s="2" t="str">
        <f t="shared" si="2"/>
        <v>3216 Regina Street</v>
      </c>
      <c r="K6" s="2" t="str">
        <f t="shared" si="3"/>
        <v>Regina</v>
      </c>
      <c r="L6" s="2" t="str">
        <f t="shared" si="4"/>
        <v>Saskatchewan</v>
      </c>
      <c r="M6" s="2" t="str">
        <f t="shared" si="5"/>
        <v>S4T 1J7</v>
      </c>
      <c r="N6" s="2" t="str">
        <f t="shared" si="6"/>
        <v>Canada</v>
      </c>
      <c r="O6" s="2" t="str">
        <f t="shared" si="7"/>
        <v>50.449147</v>
      </c>
      <c r="P6" s="2" t="str">
        <f t="shared" si="8"/>
        <v>-104.625229</v>
      </c>
    </row>
    <row r="7" spans="1:17" x14ac:dyDescent="0.3">
      <c r="A7" s="2" t="s">
        <v>93</v>
      </c>
      <c r="B7" s="4" t="s">
        <v>70</v>
      </c>
      <c r="C7" s="4" t="s">
        <v>71</v>
      </c>
      <c r="D7" s="4" t="s">
        <v>72</v>
      </c>
      <c r="E7" s="4" t="s">
        <v>73</v>
      </c>
      <c r="F7" s="4" t="s">
        <v>77</v>
      </c>
      <c r="G7" s="4" t="s">
        <v>26</v>
      </c>
      <c r="H7" s="2" t="str">
        <f t="shared" si="0"/>
        <v>AP009</v>
      </c>
      <c r="I7" s="2" t="str">
        <f t="shared" si="1"/>
        <v/>
      </c>
      <c r="J7" s="2" t="str">
        <f t="shared" si="2"/>
        <v>8 Dongbeiwang West Rd, Haidian</v>
      </c>
      <c r="K7" s="2" t="str">
        <f t="shared" si="3"/>
        <v>Beijing</v>
      </c>
      <c r="L7" s="2" t="str">
        <f t="shared" si="4"/>
        <v>Beijing Municipality</v>
      </c>
      <c r="M7" s="2" t="str">
        <f t="shared" si="5"/>
        <v/>
      </c>
      <c r="N7" s="2" t="str">
        <f t="shared" si="6"/>
        <v>China</v>
      </c>
      <c r="O7" s="2" t="str">
        <f t="shared" si="7"/>
        <v>40.03394</v>
      </c>
      <c r="P7" s="2" t="str">
        <f t="shared" si="8"/>
        <v>116.281378</v>
      </c>
    </row>
    <row r="8" spans="1:17" x14ac:dyDescent="0.3">
      <c r="A8" s="2" t="s">
        <v>93</v>
      </c>
      <c r="B8" s="4" t="s">
        <v>70</v>
      </c>
      <c r="C8" s="4" t="s">
        <v>71</v>
      </c>
      <c r="D8" s="4" t="s">
        <v>72</v>
      </c>
      <c r="E8" s="4" t="s">
        <v>73</v>
      </c>
      <c r="F8" s="4" t="s">
        <v>77</v>
      </c>
      <c r="G8" s="4" t="s">
        <v>33</v>
      </c>
      <c r="H8" s="2" t="str">
        <f t="shared" si="0"/>
        <v>LA011</v>
      </c>
      <c r="I8" s="2" t="str">
        <f t="shared" si="1"/>
        <v/>
      </c>
      <c r="J8" s="2" t="str">
        <f t="shared" si="2"/>
        <v>Avenida Tamanaco</v>
      </c>
      <c r="K8" s="2" t="str">
        <f t="shared" si="3"/>
        <v>Caracas</v>
      </c>
      <c r="L8" s="2" t="str">
        <f t="shared" si="4"/>
        <v>Capital District</v>
      </c>
      <c r="M8" s="2" t="str">
        <f t="shared" si="5"/>
        <v>7777</v>
      </c>
      <c r="N8" s="2" t="str">
        <f t="shared" si="6"/>
        <v>Venezuela</v>
      </c>
      <c r="O8" s="2" t="str">
        <f t="shared" si="7"/>
        <v>10.521569</v>
      </c>
      <c r="P8" s="2" t="str">
        <f t="shared" si="8"/>
        <v>-66.914291</v>
      </c>
    </row>
    <row r="9" spans="1:17" x14ac:dyDescent="0.3">
      <c r="A9" s="2" t="s">
        <v>93</v>
      </c>
      <c r="B9" s="4" t="s">
        <v>70</v>
      </c>
      <c r="C9" s="4" t="s">
        <v>71</v>
      </c>
      <c r="D9" s="4" t="s">
        <v>72</v>
      </c>
      <c r="E9" s="4" t="s">
        <v>73</v>
      </c>
      <c r="F9" s="4" t="s">
        <v>77</v>
      </c>
      <c r="G9" s="4" t="s">
        <v>39</v>
      </c>
      <c r="H9" s="2" t="str">
        <f t="shared" si="0"/>
        <v>NA020</v>
      </c>
      <c r="I9" s="2" t="str">
        <f t="shared" si="1"/>
        <v/>
      </c>
      <c r="J9" s="2" t="str">
        <f t="shared" si="2"/>
        <v>6100 Colwell Blvd</v>
      </c>
      <c r="K9" s="2" t="str">
        <f t="shared" si="3"/>
        <v>Dallas</v>
      </c>
      <c r="L9" s="2" t="str">
        <f t="shared" si="4"/>
        <v>Texas</v>
      </c>
      <c r="M9" s="2" t="str">
        <f t="shared" si="5"/>
        <v>75243</v>
      </c>
      <c r="N9" s="2" t="str">
        <f t="shared" si="6"/>
        <v>United States</v>
      </c>
      <c r="O9" s="2" t="str">
        <f t="shared" si="7"/>
        <v>34.60861328</v>
      </c>
      <c r="P9" s="2" t="str">
        <f t="shared" si="8"/>
        <v>-98.1528125</v>
      </c>
    </row>
    <row r="10" spans="1:17" x14ac:dyDescent="0.3">
      <c r="A10" s="2" t="s">
        <v>93</v>
      </c>
      <c r="B10" s="4" t="s">
        <v>70</v>
      </c>
      <c r="C10" s="4" t="s">
        <v>71</v>
      </c>
      <c r="D10" s="4" t="s">
        <v>72</v>
      </c>
      <c r="E10" s="4" t="s">
        <v>73</v>
      </c>
      <c r="F10" s="4" t="s">
        <v>78</v>
      </c>
      <c r="G10" s="4" t="s">
        <v>52</v>
      </c>
      <c r="H10" s="2" t="str">
        <f t="shared" si="0"/>
        <v/>
      </c>
      <c r="I10" s="2" t="str">
        <f t="shared" si="1"/>
        <v/>
      </c>
      <c r="J10" s="2" t="str">
        <f t="shared" si="2"/>
        <v>3216 Mississauga Street</v>
      </c>
      <c r="K10" s="2" t="str">
        <f t="shared" si="3"/>
        <v>Mississauga</v>
      </c>
      <c r="L10" s="2" t="str">
        <f t="shared" si="4"/>
        <v>Ontario</v>
      </c>
      <c r="M10" s="2" t="str">
        <f t="shared" si="5"/>
        <v>L4T 0A4</v>
      </c>
      <c r="N10" s="2" t="str">
        <f t="shared" si="6"/>
        <v>Canada</v>
      </c>
      <c r="O10" s="2" t="str">
        <f t="shared" si="7"/>
        <v>43.589</v>
      </c>
      <c r="P10" s="2" t="str">
        <f t="shared" si="8"/>
        <v>-79.6441</v>
      </c>
    </row>
    <row r="11" spans="1:17" x14ac:dyDescent="0.3">
      <c r="A11" s="2" t="s">
        <v>93</v>
      </c>
      <c r="B11" s="4" t="s">
        <v>70</v>
      </c>
      <c r="C11" s="4" t="s">
        <v>71</v>
      </c>
      <c r="D11" s="4" t="s">
        <v>72</v>
      </c>
      <c r="E11" s="4" t="s">
        <v>79</v>
      </c>
      <c r="F11" s="4" t="s">
        <v>80</v>
      </c>
      <c r="G11" s="4" t="s">
        <v>20</v>
      </c>
      <c r="H11" s="2" t="str">
        <f t="shared" si="0"/>
        <v/>
      </c>
      <c r="I11" s="2" t="str">
        <f t="shared" si="1"/>
        <v/>
      </c>
      <c r="J11" s="2" t="str">
        <f t="shared" si="2"/>
        <v/>
      </c>
      <c r="K11" s="2" t="str">
        <f t="shared" si="3"/>
        <v/>
      </c>
      <c r="L11" s="2" t="str">
        <f t="shared" si="4"/>
        <v/>
      </c>
      <c r="M11" s="2" t="str">
        <f t="shared" si="5"/>
        <v/>
      </c>
      <c r="N11" s="2" t="str">
        <f t="shared" si="6"/>
        <v>United States</v>
      </c>
      <c r="O11" s="2" t="str">
        <f t="shared" si="7"/>
        <v>33.983742</v>
      </c>
      <c r="P11" s="2" t="str">
        <f t="shared" si="8"/>
        <v>-83.3264669</v>
      </c>
    </row>
    <row r="12" spans="1:17" x14ac:dyDescent="0.3">
      <c r="A12" s="2" t="s">
        <v>93</v>
      </c>
      <c r="B12" s="4" t="s">
        <v>70</v>
      </c>
      <c r="C12" s="4" t="s">
        <v>71</v>
      </c>
      <c r="D12" s="4" t="s">
        <v>72</v>
      </c>
      <c r="E12" s="4" t="s">
        <v>79</v>
      </c>
      <c r="F12" s="4" t="s">
        <v>80</v>
      </c>
      <c r="G12" s="4" t="s">
        <v>60</v>
      </c>
      <c r="H12" s="2" t="str">
        <f t="shared" si="0"/>
        <v/>
      </c>
      <c r="I12" s="2" t="str">
        <f t="shared" si="1"/>
        <v/>
      </c>
      <c r="J12" s="2" t="str">
        <f t="shared" si="2"/>
        <v>10 Western Avenue</v>
      </c>
      <c r="K12" s="2" t="str">
        <f t="shared" si="3"/>
        <v>Albany</v>
      </c>
      <c r="L12" s="2" t="str">
        <f t="shared" si="4"/>
        <v>New York</v>
      </c>
      <c r="M12" s="2" t="str">
        <f t="shared" si="5"/>
        <v>12084</v>
      </c>
      <c r="N12" s="2" t="str">
        <f t="shared" si="6"/>
        <v>United States</v>
      </c>
      <c r="O12" s="2" t="str">
        <f t="shared" si="7"/>
        <v>41.424729</v>
      </c>
      <c r="P12" s="2" t="str">
        <f t="shared" si="8"/>
        <v>-122.384144</v>
      </c>
    </row>
    <row r="13" spans="1:17" x14ac:dyDescent="0.3">
      <c r="A13" s="2" t="s">
        <v>93</v>
      </c>
      <c r="B13" s="4" t="s">
        <v>70</v>
      </c>
      <c r="C13" s="4" t="s">
        <v>71</v>
      </c>
      <c r="D13" s="4" t="s">
        <v>72</v>
      </c>
      <c r="E13" s="4" t="s">
        <v>79</v>
      </c>
      <c r="F13" s="4" t="s">
        <v>80</v>
      </c>
      <c r="G13" s="4" t="s">
        <v>63</v>
      </c>
      <c r="H13" s="2" t="str">
        <f t="shared" si="0"/>
        <v/>
      </c>
      <c r="I13" s="2" t="str">
        <f t="shared" si="1"/>
        <v/>
      </c>
      <c r="J13" s="2" t="str">
        <f t="shared" si="2"/>
        <v>One Penn Plaza</v>
      </c>
      <c r="K13" s="2" t="str">
        <f t="shared" si="3"/>
        <v>New York</v>
      </c>
      <c r="L13" s="2" t="str">
        <f t="shared" si="4"/>
        <v>New York</v>
      </c>
      <c r="M13" s="2" t="str">
        <f t="shared" si="5"/>
        <v>10119</v>
      </c>
      <c r="N13" s="2" t="str">
        <f t="shared" si="6"/>
        <v>United States</v>
      </c>
      <c r="O13" s="2" t="str">
        <f t="shared" si="7"/>
        <v/>
      </c>
      <c r="P13" s="2" t="str">
        <f t="shared" si="8"/>
        <v/>
      </c>
    </row>
    <row r="14" spans="1:17" x14ac:dyDescent="0.3">
      <c r="A14" s="2" t="s">
        <v>93</v>
      </c>
      <c r="B14" s="4" t="s">
        <v>70</v>
      </c>
      <c r="C14" s="4" t="s">
        <v>71</v>
      </c>
      <c r="D14" s="4" t="s">
        <v>72</v>
      </c>
      <c r="E14" s="4" t="s">
        <v>79</v>
      </c>
      <c r="F14" s="4" t="s">
        <v>81</v>
      </c>
      <c r="G14" s="4" t="s">
        <v>57</v>
      </c>
      <c r="H14" s="2" t="str">
        <f t="shared" si="0"/>
        <v/>
      </c>
      <c r="I14" s="2" t="str">
        <f t="shared" si="1"/>
        <v/>
      </c>
      <c r="J14" s="2" t="str">
        <f t="shared" si="2"/>
        <v>37 Wall Street</v>
      </c>
      <c r="K14" s="2" t="str">
        <f t="shared" si="3"/>
        <v>New York</v>
      </c>
      <c r="L14" s="2" t="str">
        <f t="shared" si="4"/>
        <v>New York</v>
      </c>
      <c r="M14" s="2" t="str">
        <f t="shared" si="5"/>
        <v/>
      </c>
      <c r="N14" s="2" t="str">
        <f t="shared" si="6"/>
        <v>United States</v>
      </c>
      <c r="O14" s="2" t="str">
        <f t="shared" si="7"/>
        <v/>
      </c>
      <c r="P14" s="2" t="str">
        <f t="shared" si="8"/>
        <v/>
      </c>
    </row>
    <row r="18" spans="1:11" ht="21" x14ac:dyDescent="0.3">
      <c r="A18" s="8" t="s">
        <v>96</v>
      </c>
    </row>
    <row r="19" spans="1:11" ht="58.8" customHeight="1" x14ac:dyDescent="0.3">
      <c r="A19" s="9" t="s">
        <v>98</v>
      </c>
      <c r="B19" s="9"/>
      <c r="C19" s="9"/>
      <c r="D19" s="9"/>
      <c r="E19" s="9"/>
      <c r="F19" s="9"/>
      <c r="G19" s="9"/>
      <c r="H19" s="9"/>
      <c r="I19" s="9"/>
      <c r="J19" s="9"/>
      <c r="K19" s="9"/>
    </row>
  </sheetData>
  <mergeCells count="1">
    <mergeCell ref="A19:K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D0AB1-9E33-47C2-84E1-466385F727C1}">
  <dimension ref="A1:A260"/>
  <sheetViews>
    <sheetView workbookViewId="0">
      <selection activeCell="A258" sqref="A258:XFD259"/>
    </sheetView>
  </sheetViews>
  <sheetFormatPr defaultRowHeight="14.4" x14ac:dyDescent="0.3"/>
  <cols>
    <col min="1" max="1" width="40.77734375" style="2" bestFit="1" customWidth="1"/>
    <col min="2" max="7" width="8.88671875" style="2"/>
    <col min="8" max="8" width="41.5546875" style="2" bestFit="1" customWidth="1"/>
    <col min="9" max="16384" width="8.88671875" style="2"/>
  </cols>
  <sheetData>
    <row r="1" spans="1:1" s="1" customFormat="1" x14ac:dyDescent="0.3">
      <c r="A1" s="1" t="s">
        <v>133</v>
      </c>
    </row>
    <row r="2" spans="1:1" x14ac:dyDescent="0.3">
      <c r="A2" s="2" t="s">
        <v>134</v>
      </c>
    </row>
    <row r="3" spans="1:1" x14ac:dyDescent="0.3">
      <c r="A3" s="2" t="s">
        <v>135</v>
      </c>
    </row>
    <row r="4" spans="1:1" x14ac:dyDescent="0.3">
      <c r="A4" s="2" t="s">
        <v>136</v>
      </c>
    </row>
    <row r="5" spans="1:1" x14ac:dyDescent="0.3">
      <c r="A5" s="2" t="s">
        <v>137</v>
      </c>
    </row>
    <row r="6" spans="1:1" x14ac:dyDescent="0.3">
      <c r="A6" s="2" t="s">
        <v>138</v>
      </c>
    </row>
    <row r="7" spans="1:1" x14ac:dyDescent="0.3">
      <c r="A7" s="2" t="s">
        <v>139</v>
      </c>
    </row>
    <row r="8" spans="1:1" x14ac:dyDescent="0.3">
      <c r="A8" s="2" t="s">
        <v>140</v>
      </c>
    </row>
    <row r="9" spans="1:1" x14ac:dyDescent="0.3">
      <c r="A9" s="2" t="s">
        <v>141</v>
      </c>
    </row>
    <row r="10" spans="1:1" x14ac:dyDescent="0.3">
      <c r="A10" s="2" t="s">
        <v>142</v>
      </c>
    </row>
    <row r="11" spans="1:1" x14ac:dyDescent="0.3">
      <c r="A11" s="2" t="s">
        <v>143</v>
      </c>
    </row>
    <row r="12" spans="1:1" x14ac:dyDescent="0.3">
      <c r="A12" s="2" t="s">
        <v>144</v>
      </c>
    </row>
    <row r="13" spans="1:1" x14ac:dyDescent="0.3">
      <c r="A13" s="2" t="s">
        <v>145</v>
      </c>
    </row>
    <row r="14" spans="1:1" x14ac:dyDescent="0.3">
      <c r="A14" s="2" t="s">
        <v>146</v>
      </c>
    </row>
    <row r="15" spans="1:1" x14ac:dyDescent="0.3">
      <c r="A15" s="2" t="s">
        <v>147</v>
      </c>
    </row>
    <row r="16" spans="1:1" x14ac:dyDescent="0.3">
      <c r="A16" s="2" t="s">
        <v>148</v>
      </c>
    </row>
    <row r="17" spans="1:1" x14ac:dyDescent="0.3">
      <c r="A17" s="2" t="s">
        <v>149</v>
      </c>
    </row>
    <row r="18" spans="1:1" x14ac:dyDescent="0.3">
      <c r="A18" s="2" t="s">
        <v>150</v>
      </c>
    </row>
    <row r="19" spans="1:1" x14ac:dyDescent="0.3">
      <c r="A19" s="2" t="s">
        <v>151</v>
      </c>
    </row>
    <row r="20" spans="1:1" x14ac:dyDescent="0.3">
      <c r="A20" s="2" t="s">
        <v>152</v>
      </c>
    </row>
    <row r="21" spans="1:1" x14ac:dyDescent="0.3">
      <c r="A21" s="2" t="s">
        <v>153</v>
      </c>
    </row>
    <row r="22" spans="1:1" x14ac:dyDescent="0.3">
      <c r="A22" s="2" t="s">
        <v>154</v>
      </c>
    </row>
    <row r="23" spans="1:1" x14ac:dyDescent="0.3">
      <c r="A23" s="2" t="s">
        <v>155</v>
      </c>
    </row>
    <row r="24" spans="1:1" x14ac:dyDescent="0.3">
      <c r="A24" s="2" t="s">
        <v>156</v>
      </c>
    </row>
    <row r="25" spans="1:1" x14ac:dyDescent="0.3">
      <c r="A25" s="2" t="s">
        <v>157</v>
      </c>
    </row>
    <row r="26" spans="1:1" x14ac:dyDescent="0.3">
      <c r="A26" s="2" t="s">
        <v>158</v>
      </c>
    </row>
    <row r="27" spans="1:1" x14ac:dyDescent="0.3">
      <c r="A27" s="2" t="s">
        <v>159</v>
      </c>
    </row>
    <row r="28" spans="1:1" x14ac:dyDescent="0.3">
      <c r="A28" s="2" t="s">
        <v>160</v>
      </c>
    </row>
    <row r="29" spans="1:1" x14ac:dyDescent="0.3">
      <c r="A29" s="2" t="s">
        <v>161</v>
      </c>
    </row>
    <row r="30" spans="1:1" x14ac:dyDescent="0.3">
      <c r="A30" s="2" t="s">
        <v>162</v>
      </c>
    </row>
    <row r="31" spans="1:1" x14ac:dyDescent="0.3">
      <c r="A31" s="2" t="s">
        <v>163</v>
      </c>
    </row>
    <row r="32" spans="1:1" x14ac:dyDescent="0.3">
      <c r="A32" s="2" t="s">
        <v>164</v>
      </c>
    </row>
    <row r="33" spans="1:1" x14ac:dyDescent="0.3">
      <c r="A33" s="2" t="s">
        <v>165</v>
      </c>
    </row>
    <row r="34" spans="1:1" x14ac:dyDescent="0.3">
      <c r="A34" s="2" t="s">
        <v>166</v>
      </c>
    </row>
    <row r="35" spans="1:1" x14ac:dyDescent="0.3">
      <c r="A35" s="2" t="s">
        <v>167</v>
      </c>
    </row>
    <row r="36" spans="1:1" x14ac:dyDescent="0.3">
      <c r="A36" s="2" t="s">
        <v>168</v>
      </c>
    </row>
    <row r="37" spans="1:1" x14ac:dyDescent="0.3">
      <c r="A37" s="2" t="s">
        <v>169</v>
      </c>
    </row>
    <row r="38" spans="1:1" x14ac:dyDescent="0.3">
      <c r="A38" s="2" t="s">
        <v>170</v>
      </c>
    </row>
    <row r="39" spans="1:1" x14ac:dyDescent="0.3">
      <c r="A39" s="2" t="s">
        <v>171</v>
      </c>
    </row>
    <row r="40" spans="1:1" x14ac:dyDescent="0.3">
      <c r="A40" s="2" t="s">
        <v>172</v>
      </c>
    </row>
    <row r="41" spans="1:1" x14ac:dyDescent="0.3">
      <c r="A41" s="2" t="s">
        <v>173</v>
      </c>
    </row>
    <row r="42" spans="1:1" x14ac:dyDescent="0.3">
      <c r="A42" s="2" t="s">
        <v>174</v>
      </c>
    </row>
    <row r="43" spans="1:1" x14ac:dyDescent="0.3">
      <c r="A43" s="2" t="s">
        <v>56</v>
      </c>
    </row>
    <row r="44" spans="1:1" x14ac:dyDescent="0.3">
      <c r="A44" s="2" t="s">
        <v>175</v>
      </c>
    </row>
    <row r="45" spans="1:1" x14ac:dyDescent="0.3">
      <c r="A45" s="2" t="s">
        <v>176</v>
      </c>
    </row>
    <row r="46" spans="1:1" x14ac:dyDescent="0.3">
      <c r="A46" s="2" t="s">
        <v>177</v>
      </c>
    </row>
    <row r="47" spans="1:1" x14ac:dyDescent="0.3">
      <c r="A47" s="2" t="s">
        <v>178</v>
      </c>
    </row>
    <row r="48" spans="1:1" x14ac:dyDescent="0.3">
      <c r="A48" s="2" t="s">
        <v>179</v>
      </c>
    </row>
    <row r="49" spans="1:1" x14ac:dyDescent="0.3">
      <c r="A49" s="2" t="s">
        <v>31</v>
      </c>
    </row>
    <row r="50" spans="1:1" x14ac:dyDescent="0.3">
      <c r="A50" s="2" t="s">
        <v>180</v>
      </c>
    </row>
    <row r="51" spans="1:1" x14ac:dyDescent="0.3">
      <c r="A51" s="2" t="s">
        <v>181</v>
      </c>
    </row>
    <row r="52" spans="1:1" x14ac:dyDescent="0.3">
      <c r="A52" s="2" t="s">
        <v>182</v>
      </c>
    </row>
    <row r="53" spans="1:1" x14ac:dyDescent="0.3">
      <c r="A53" s="2" t="s">
        <v>183</v>
      </c>
    </row>
    <row r="54" spans="1:1" x14ac:dyDescent="0.3">
      <c r="A54" s="2" t="s">
        <v>184</v>
      </c>
    </row>
    <row r="55" spans="1:1" x14ac:dyDescent="0.3">
      <c r="A55" s="2" t="s">
        <v>185</v>
      </c>
    </row>
    <row r="56" spans="1:1" x14ac:dyDescent="0.3">
      <c r="A56" s="2" t="s">
        <v>186</v>
      </c>
    </row>
    <row r="57" spans="1:1" x14ac:dyDescent="0.3">
      <c r="A57" s="2" t="s">
        <v>187</v>
      </c>
    </row>
    <row r="58" spans="1:1" x14ac:dyDescent="0.3">
      <c r="A58" s="2" t="s">
        <v>188</v>
      </c>
    </row>
    <row r="59" spans="1:1" x14ac:dyDescent="0.3">
      <c r="A59" s="2" t="s">
        <v>189</v>
      </c>
    </row>
    <row r="60" spans="1:1" x14ac:dyDescent="0.3">
      <c r="A60" s="2" t="s">
        <v>190</v>
      </c>
    </row>
    <row r="61" spans="1:1" x14ac:dyDescent="0.3">
      <c r="A61" s="2" t="s">
        <v>191</v>
      </c>
    </row>
    <row r="62" spans="1:1" x14ac:dyDescent="0.3">
      <c r="A62" s="2" t="s">
        <v>192</v>
      </c>
    </row>
    <row r="63" spans="1:1" x14ac:dyDescent="0.3">
      <c r="A63" s="2" t="s">
        <v>193</v>
      </c>
    </row>
    <row r="64" spans="1:1" x14ac:dyDescent="0.3">
      <c r="A64" s="2" t="s">
        <v>194</v>
      </c>
    </row>
    <row r="65" spans="1:1" x14ac:dyDescent="0.3">
      <c r="A65" s="2" t="s">
        <v>195</v>
      </c>
    </row>
    <row r="66" spans="1:1" x14ac:dyDescent="0.3">
      <c r="A66" s="2" t="s">
        <v>196</v>
      </c>
    </row>
    <row r="67" spans="1:1" x14ac:dyDescent="0.3">
      <c r="A67" s="2" t="s">
        <v>197</v>
      </c>
    </row>
    <row r="68" spans="1:1" x14ac:dyDescent="0.3">
      <c r="A68" s="2" t="s">
        <v>198</v>
      </c>
    </row>
    <row r="69" spans="1:1" x14ac:dyDescent="0.3">
      <c r="A69" s="2" t="s">
        <v>199</v>
      </c>
    </row>
    <row r="70" spans="1:1" x14ac:dyDescent="0.3">
      <c r="A70" s="2" t="s">
        <v>200</v>
      </c>
    </row>
    <row r="71" spans="1:1" x14ac:dyDescent="0.3">
      <c r="A71" s="2" t="s">
        <v>201</v>
      </c>
    </row>
    <row r="72" spans="1:1" x14ac:dyDescent="0.3">
      <c r="A72" s="2" t="s">
        <v>202</v>
      </c>
    </row>
    <row r="73" spans="1:1" x14ac:dyDescent="0.3">
      <c r="A73" s="2" t="s">
        <v>203</v>
      </c>
    </row>
    <row r="74" spans="1:1" x14ac:dyDescent="0.3">
      <c r="A74" s="2" t="s">
        <v>204</v>
      </c>
    </row>
    <row r="75" spans="1:1" x14ac:dyDescent="0.3">
      <c r="A75" s="2" t="s">
        <v>205</v>
      </c>
    </row>
    <row r="76" spans="1:1" x14ac:dyDescent="0.3">
      <c r="A76" s="2" t="s">
        <v>206</v>
      </c>
    </row>
    <row r="77" spans="1:1" x14ac:dyDescent="0.3">
      <c r="A77" s="2" t="s">
        <v>207</v>
      </c>
    </row>
    <row r="78" spans="1:1" x14ac:dyDescent="0.3">
      <c r="A78" s="2" t="s">
        <v>208</v>
      </c>
    </row>
    <row r="79" spans="1:1" x14ac:dyDescent="0.3">
      <c r="A79" s="2" t="s">
        <v>209</v>
      </c>
    </row>
    <row r="80" spans="1:1" x14ac:dyDescent="0.3">
      <c r="A80" s="2" t="s">
        <v>210</v>
      </c>
    </row>
    <row r="81" spans="1:1" x14ac:dyDescent="0.3">
      <c r="A81" s="2" t="s">
        <v>211</v>
      </c>
    </row>
    <row r="82" spans="1:1" x14ac:dyDescent="0.3">
      <c r="A82" s="2" t="s">
        <v>212</v>
      </c>
    </row>
    <row r="83" spans="1:1" x14ac:dyDescent="0.3">
      <c r="A83" s="2" t="s">
        <v>213</v>
      </c>
    </row>
    <row r="84" spans="1:1" x14ac:dyDescent="0.3">
      <c r="A84" s="2" t="s">
        <v>214</v>
      </c>
    </row>
    <row r="85" spans="1:1" x14ac:dyDescent="0.3">
      <c r="A85" s="2" t="s">
        <v>215</v>
      </c>
    </row>
    <row r="86" spans="1:1" x14ac:dyDescent="0.3">
      <c r="A86" s="2" t="s">
        <v>216</v>
      </c>
    </row>
    <row r="87" spans="1:1" x14ac:dyDescent="0.3">
      <c r="A87" s="2" t="s">
        <v>217</v>
      </c>
    </row>
    <row r="88" spans="1:1" x14ac:dyDescent="0.3">
      <c r="A88" s="2" t="s">
        <v>218</v>
      </c>
    </row>
    <row r="89" spans="1:1" x14ac:dyDescent="0.3">
      <c r="A89" s="2" t="s">
        <v>219</v>
      </c>
    </row>
    <row r="90" spans="1:1" x14ac:dyDescent="0.3">
      <c r="A90" s="2" t="s">
        <v>220</v>
      </c>
    </row>
    <row r="91" spans="1:1" x14ac:dyDescent="0.3">
      <c r="A91" s="2" t="s">
        <v>221</v>
      </c>
    </row>
    <row r="92" spans="1:1" x14ac:dyDescent="0.3">
      <c r="A92" s="2" t="s">
        <v>222</v>
      </c>
    </row>
    <row r="93" spans="1:1" x14ac:dyDescent="0.3">
      <c r="A93" s="2" t="s">
        <v>223</v>
      </c>
    </row>
    <row r="94" spans="1:1" x14ac:dyDescent="0.3">
      <c r="A94" s="2" t="s">
        <v>224</v>
      </c>
    </row>
    <row r="95" spans="1:1" x14ac:dyDescent="0.3">
      <c r="A95" s="2" t="s">
        <v>225</v>
      </c>
    </row>
    <row r="96" spans="1:1" x14ac:dyDescent="0.3">
      <c r="A96" s="2" t="s">
        <v>226</v>
      </c>
    </row>
    <row r="97" spans="1:1" x14ac:dyDescent="0.3">
      <c r="A97" s="2" t="s">
        <v>227</v>
      </c>
    </row>
    <row r="98" spans="1:1" x14ac:dyDescent="0.3">
      <c r="A98" s="2" t="s">
        <v>228</v>
      </c>
    </row>
    <row r="99" spans="1:1" x14ac:dyDescent="0.3">
      <c r="A99" s="2" t="s">
        <v>229</v>
      </c>
    </row>
    <row r="100" spans="1:1" x14ac:dyDescent="0.3">
      <c r="A100" s="2" t="s">
        <v>230</v>
      </c>
    </row>
    <row r="101" spans="1:1" x14ac:dyDescent="0.3">
      <c r="A101" s="2" t="s">
        <v>231</v>
      </c>
    </row>
    <row r="102" spans="1:1" x14ac:dyDescent="0.3">
      <c r="A102" s="2" t="s">
        <v>232</v>
      </c>
    </row>
    <row r="103" spans="1:1" x14ac:dyDescent="0.3">
      <c r="A103" s="2" t="s">
        <v>233</v>
      </c>
    </row>
    <row r="104" spans="1:1" x14ac:dyDescent="0.3">
      <c r="A104" s="2" t="s">
        <v>234</v>
      </c>
    </row>
    <row r="105" spans="1:1" x14ac:dyDescent="0.3">
      <c r="A105" s="2" t="s">
        <v>235</v>
      </c>
    </row>
    <row r="106" spans="1:1" x14ac:dyDescent="0.3">
      <c r="A106" s="2" t="s">
        <v>236</v>
      </c>
    </row>
    <row r="107" spans="1:1" x14ac:dyDescent="0.3">
      <c r="A107" s="2" t="s">
        <v>237</v>
      </c>
    </row>
    <row r="108" spans="1:1" x14ac:dyDescent="0.3">
      <c r="A108" s="2" t="s">
        <v>238</v>
      </c>
    </row>
    <row r="109" spans="1:1" x14ac:dyDescent="0.3">
      <c r="A109" s="2" t="s">
        <v>239</v>
      </c>
    </row>
    <row r="110" spans="1:1" x14ac:dyDescent="0.3">
      <c r="A110" s="2" t="s">
        <v>240</v>
      </c>
    </row>
    <row r="111" spans="1:1" x14ac:dyDescent="0.3">
      <c r="A111" s="2" t="s">
        <v>241</v>
      </c>
    </row>
    <row r="112" spans="1:1" x14ac:dyDescent="0.3">
      <c r="A112" s="2" t="s">
        <v>242</v>
      </c>
    </row>
    <row r="113" spans="1:1" x14ac:dyDescent="0.3">
      <c r="A113" s="2" t="s">
        <v>243</v>
      </c>
    </row>
    <row r="114" spans="1:1" x14ac:dyDescent="0.3">
      <c r="A114" s="2" t="s">
        <v>244</v>
      </c>
    </row>
    <row r="115" spans="1:1" x14ac:dyDescent="0.3">
      <c r="A115" s="2" t="s">
        <v>245</v>
      </c>
    </row>
    <row r="116" spans="1:1" x14ac:dyDescent="0.3">
      <c r="A116" s="2" t="s">
        <v>246</v>
      </c>
    </row>
    <row r="117" spans="1:1" x14ac:dyDescent="0.3">
      <c r="A117" s="2" t="s">
        <v>247</v>
      </c>
    </row>
    <row r="118" spans="1:1" x14ac:dyDescent="0.3">
      <c r="A118" s="2" t="s">
        <v>248</v>
      </c>
    </row>
    <row r="119" spans="1:1" x14ac:dyDescent="0.3">
      <c r="A119" s="2" t="s">
        <v>249</v>
      </c>
    </row>
    <row r="120" spans="1:1" x14ac:dyDescent="0.3">
      <c r="A120" s="2" t="s">
        <v>250</v>
      </c>
    </row>
    <row r="121" spans="1:1" x14ac:dyDescent="0.3">
      <c r="A121" s="2" t="s">
        <v>251</v>
      </c>
    </row>
    <row r="122" spans="1:1" x14ac:dyDescent="0.3">
      <c r="A122" s="2" t="s">
        <v>252</v>
      </c>
    </row>
    <row r="123" spans="1:1" x14ac:dyDescent="0.3">
      <c r="A123" s="2" t="s">
        <v>253</v>
      </c>
    </row>
    <row r="124" spans="1:1" x14ac:dyDescent="0.3">
      <c r="A124" s="2" t="s">
        <v>254</v>
      </c>
    </row>
    <row r="125" spans="1:1" x14ac:dyDescent="0.3">
      <c r="A125" s="2" t="s">
        <v>255</v>
      </c>
    </row>
    <row r="126" spans="1:1" x14ac:dyDescent="0.3">
      <c r="A126" s="2" t="s">
        <v>256</v>
      </c>
    </row>
    <row r="127" spans="1:1" x14ac:dyDescent="0.3">
      <c r="A127" s="2" t="s">
        <v>257</v>
      </c>
    </row>
    <row r="128" spans="1:1" x14ac:dyDescent="0.3">
      <c r="A128" s="2" t="s">
        <v>258</v>
      </c>
    </row>
    <row r="129" spans="1:1" x14ac:dyDescent="0.3">
      <c r="A129" s="2" t="s">
        <v>259</v>
      </c>
    </row>
    <row r="130" spans="1:1" x14ac:dyDescent="0.3">
      <c r="A130" s="2" t="s">
        <v>260</v>
      </c>
    </row>
    <row r="131" spans="1:1" x14ac:dyDescent="0.3">
      <c r="A131" s="2" t="s">
        <v>261</v>
      </c>
    </row>
    <row r="132" spans="1:1" x14ac:dyDescent="0.3">
      <c r="A132" s="2" t="s">
        <v>262</v>
      </c>
    </row>
    <row r="133" spans="1:1" x14ac:dyDescent="0.3">
      <c r="A133" s="2" t="s">
        <v>263</v>
      </c>
    </row>
    <row r="134" spans="1:1" x14ac:dyDescent="0.3">
      <c r="A134" s="2" t="s">
        <v>264</v>
      </c>
    </row>
    <row r="135" spans="1:1" x14ac:dyDescent="0.3">
      <c r="A135" s="2" t="s">
        <v>265</v>
      </c>
    </row>
    <row r="136" spans="1:1" x14ac:dyDescent="0.3">
      <c r="A136" s="2" t="s">
        <v>266</v>
      </c>
    </row>
    <row r="137" spans="1:1" x14ac:dyDescent="0.3">
      <c r="A137" s="2" t="s">
        <v>267</v>
      </c>
    </row>
    <row r="138" spans="1:1" x14ac:dyDescent="0.3">
      <c r="A138" s="2" t="s">
        <v>268</v>
      </c>
    </row>
    <row r="139" spans="1:1" x14ac:dyDescent="0.3">
      <c r="A139" s="2" t="s">
        <v>269</v>
      </c>
    </row>
    <row r="140" spans="1:1" x14ac:dyDescent="0.3">
      <c r="A140" s="2" t="s">
        <v>270</v>
      </c>
    </row>
    <row r="141" spans="1:1" x14ac:dyDescent="0.3">
      <c r="A141" s="2" t="s">
        <v>271</v>
      </c>
    </row>
    <row r="142" spans="1:1" x14ac:dyDescent="0.3">
      <c r="A142" s="2" t="s">
        <v>272</v>
      </c>
    </row>
    <row r="143" spans="1:1" x14ac:dyDescent="0.3">
      <c r="A143" s="2" t="s">
        <v>273</v>
      </c>
    </row>
    <row r="144" spans="1:1" x14ac:dyDescent="0.3">
      <c r="A144" s="2" t="s">
        <v>274</v>
      </c>
    </row>
    <row r="145" spans="1:1" x14ac:dyDescent="0.3">
      <c r="A145" s="2" t="s">
        <v>275</v>
      </c>
    </row>
    <row r="146" spans="1:1" x14ac:dyDescent="0.3">
      <c r="A146" s="2" t="s">
        <v>276</v>
      </c>
    </row>
    <row r="147" spans="1:1" x14ac:dyDescent="0.3">
      <c r="A147" s="2" t="s">
        <v>277</v>
      </c>
    </row>
    <row r="148" spans="1:1" x14ac:dyDescent="0.3">
      <c r="A148" s="2" t="s">
        <v>278</v>
      </c>
    </row>
    <row r="149" spans="1:1" x14ac:dyDescent="0.3">
      <c r="A149" s="2" t="s">
        <v>279</v>
      </c>
    </row>
    <row r="150" spans="1:1" x14ac:dyDescent="0.3">
      <c r="A150" s="2" t="s">
        <v>280</v>
      </c>
    </row>
    <row r="151" spans="1:1" x14ac:dyDescent="0.3">
      <c r="A151" s="2" t="s">
        <v>281</v>
      </c>
    </row>
    <row r="152" spans="1:1" x14ac:dyDescent="0.3">
      <c r="A152" s="2" t="s">
        <v>282</v>
      </c>
    </row>
    <row r="153" spans="1:1" x14ac:dyDescent="0.3">
      <c r="A153" s="2" t="s">
        <v>283</v>
      </c>
    </row>
    <row r="154" spans="1:1" x14ac:dyDescent="0.3">
      <c r="A154" s="2" t="s">
        <v>284</v>
      </c>
    </row>
    <row r="155" spans="1:1" x14ac:dyDescent="0.3">
      <c r="A155" s="2" t="s">
        <v>285</v>
      </c>
    </row>
    <row r="156" spans="1:1" x14ac:dyDescent="0.3">
      <c r="A156" s="2" t="s">
        <v>286</v>
      </c>
    </row>
    <row r="157" spans="1:1" x14ac:dyDescent="0.3">
      <c r="A157" s="2" t="s">
        <v>287</v>
      </c>
    </row>
    <row r="158" spans="1:1" x14ac:dyDescent="0.3">
      <c r="A158" s="2" t="s">
        <v>288</v>
      </c>
    </row>
    <row r="159" spans="1:1" x14ac:dyDescent="0.3">
      <c r="A159" s="2" t="s">
        <v>289</v>
      </c>
    </row>
    <row r="160" spans="1:1" x14ac:dyDescent="0.3">
      <c r="A160" s="2" t="s">
        <v>290</v>
      </c>
    </row>
    <row r="161" spans="1:1" x14ac:dyDescent="0.3">
      <c r="A161" s="2" t="s">
        <v>291</v>
      </c>
    </row>
    <row r="162" spans="1:1" x14ac:dyDescent="0.3">
      <c r="A162" s="2" t="s">
        <v>292</v>
      </c>
    </row>
    <row r="163" spans="1:1" x14ac:dyDescent="0.3">
      <c r="A163" s="2" t="s">
        <v>293</v>
      </c>
    </row>
    <row r="164" spans="1:1" x14ac:dyDescent="0.3">
      <c r="A164" s="2" t="s">
        <v>294</v>
      </c>
    </row>
    <row r="165" spans="1:1" x14ac:dyDescent="0.3">
      <c r="A165" s="2" t="s">
        <v>295</v>
      </c>
    </row>
    <row r="166" spans="1:1" x14ac:dyDescent="0.3">
      <c r="A166" s="2" t="s">
        <v>296</v>
      </c>
    </row>
    <row r="167" spans="1:1" x14ac:dyDescent="0.3">
      <c r="A167" s="2" t="s">
        <v>298</v>
      </c>
    </row>
    <row r="168" spans="1:1" x14ac:dyDescent="0.3">
      <c r="A168" s="2" t="s">
        <v>297</v>
      </c>
    </row>
    <row r="169" spans="1:1" x14ac:dyDescent="0.3">
      <c r="A169" s="2" t="s">
        <v>299</v>
      </c>
    </row>
    <row r="170" spans="1:1" x14ac:dyDescent="0.3">
      <c r="A170" s="2" t="s">
        <v>24</v>
      </c>
    </row>
    <row r="171" spans="1:1" x14ac:dyDescent="0.3">
      <c r="A171" s="2" t="s">
        <v>300</v>
      </c>
    </row>
    <row r="172" spans="1:1" x14ac:dyDescent="0.3">
      <c r="A172" s="2" t="s">
        <v>301</v>
      </c>
    </row>
    <row r="173" spans="1:1" x14ac:dyDescent="0.3">
      <c r="A173" s="2" t="s">
        <v>302</v>
      </c>
    </row>
    <row r="174" spans="1:1" x14ac:dyDescent="0.3">
      <c r="A174" s="2" t="s">
        <v>303</v>
      </c>
    </row>
    <row r="175" spans="1:1" x14ac:dyDescent="0.3">
      <c r="A175" s="2" t="s">
        <v>304</v>
      </c>
    </row>
    <row r="176" spans="1:1" x14ac:dyDescent="0.3">
      <c r="A176" s="2" t="s">
        <v>305</v>
      </c>
    </row>
    <row r="177" spans="1:1" x14ac:dyDescent="0.3">
      <c r="A177" s="2" t="s">
        <v>306</v>
      </c>
    </row>
    <row r="178" spans="1:1" x14ac:dyDescent="0.3">
      <c r="A178" s="2" t="s">
        <v>307</v>
      </c>
    </row>
    <row r="179" spans="1:1" x14ac:dyDescent="0.3">
      <c r="A179" s="2" t="s">
        <v>308</v>
      </c>
    </row>
    <row r="180" spans="1:1" x14ac:dyDescent="0.3">
      <c r="A180" s="2" t="s">
        <v>309</v>
      </c>
    </row>
    <row r="181" spans="1:1" x14ac:dyDescent="0.3">
      <c r="A181" s="2" t="s">
        <v>310</v>
      </c>
    </row>
    <row r="182" spans="1:1" x14ac:dyDescent="0.3">
      <c r="A182" s="2" t="s">
        <v>311</v>
      </c>
    </row>
    <row r="183" spans="1:1" x14ac:dyDescent="0.3">
      <c r="A183" s="2" t="s">
        <v>312</v>
      </c>
    </row>
    <row r="184" spans="1:1" x14ac:dyDescent="0.3">
      <c r="A184" s="2" t="s">
        <v>313</v>
      </c>
    </row>
    <row r="185" spans="1:1" x14ac:dyDescent="0.3">
      <c r="A185" s="2" t="s">
        <v>314</v>
      </c>
    </row>
    <row r="186" spans="1:1" x14ac:dyDescent="0.3">
      <c r="A186" s="2" t="s">
        <v>315</v>
      </c>
    </row>
    <row r="187" spans="1:1" x14ac:dyDescent="0.3">
      <c r="A187" s="2" t="s">
        <v>316</v>
      </c>
    </row>
    <row r="188" spans="1:1" x14ac:dyDescent="0.3">
      <c r="A188" s="2" t="s">
        <v>317</v>
      </c>
    </row>
    <row r="189" spans="1:1" x14ac:dyDescent="0.3">
      <c r="A189" s="2" t="s">
        <v>318</v>
      </c>
    </row>
    <row r="190" spans="1:1" x14ac:dyDescent="0.3">
      <c r="A190" s="2" t="s">
        <v>319</v>
      </c>
    </row>
    <row r="191" spans="1:1" x14ac:dyDescent="0.3">
      <c r="A191" s="2" t="s">
        <v>320</v>
      </c>
    </row>
    <row r="192" spans="1:1" x14ac:dyDescent="0.3">
      <c r="A192" s="2" t="s">
        <v>321</v>
      </c>
    </row>
    <row r="193" spans="1:1" x14ac:dyDescent="0.3">
      <c r="A193" s="2" t="s">
        <v>322</v>
      </c>
    </row>
    <row r="194" spans="1:1" x14ac:dyDescent="0.3">
      <c r="A194" s="2" t="s">
        <v>323</v>
      </c>
    </row>
    <row r="195" spans="1:1" x14ac:dyDescent="0.3">
      <c r="A195" s="2" t="s">
        <v>324</v>
      </c>
    </row>
    <row r="196" spans="1:1" x14ac:dyDescent="0.3">
      <c r="A196" s="2" t="s">
        <v>325</v>
      </c>
    </row>
    <row r="197" spans="1:1" x14ac:dyDescent="0.3">
      <c r="A197" s="2" t="s">
        <v>326</v>
      </c>
    </row>
    <row r="198" spans="1:1" x14ac:dyDescent="0.3">
      <c r="A198" s="2" t="s">
        <v>327</v>
      </c>
    </row>
    <row r="199" spans="1:1" x14ac:dyDescent="0.3">
      <c r="A199" s="2" t="s">
        <v>328</v>
      </c>
    </row>
    <row r="200" spans="1:1" x14ac:dyDescent="0.3">
      <c r="A200" s="2" t="s">
        <v>329</v>
      </c>
    </row>
    <row r="201" spans="1:1" x14ac:dyDescent="0.3">
      <c r="A201" s="2" t="s">
        <v>330</v>
      </c>
    </row>
    <row r="202" spans="1:1" x14ac:dyDescent="0.3">
      <c r="A202" s="2" t="s">
        <v>331</v>
      </c>
    </row>
    <row r="203" spans="1:1" x14ac:dyDescent="0.3">
      <c r="A203" s="2" t="s">
        <v>332</v>
      </c>
    </row>
    <row r="204" spans="1:1" x14ac:dyDescent="0.3">
      <c r="A204" s="2" t="s">
        <v>333</v>
      </c>
    </row>
    <row r="205" spans="1:1" x14ac:dyDescent="0.3">
      <c r="A205" s="2" t="s">
        <v>334</v>
      </c>
    </row>
    <row r="206" spans="1:1" x14ac:dyDescent="0.3">
      <c r="A206" s="2" t="s">
        <v>335</v>
      </c>
    </row>
    <row r="207" spans="1:1" x14ac:dyDescent="0.3">
      <c r="A207" s="2" t="s">
        <v>336</v>
      </c>
    </row>
    <row r="208" spans="1:1" x14ac:dyDescent="0.3">
      <c r="A208" s="2" t="s">
        <v>337</v>
      </c>
    </row>
    <row r="209" spans="1:1" x14ac:dyDescent="0.3">
      <c r="A209" s="2" t="s">
        <v>338</v>
      </c>
    </row>
    <row r="210" spans="1:1" x14ac:dyDescent="0.3">
      <c r="A210" s="2" t="s">
        <v>339</v>
      </c>
    </row>
    <row r="211" spans="1:1" x14ac:dyDescent="0.3">
      <c r="A211" s="2" t="s">
        <v>340</v>
      </c>
    </row>
    <row r="212" spans="1:1" x14ac:dyDescent="0.3">
      <c r="A212" s="2" t="s">
        <v>341</v>
      </c>
    </row>
    <row r="213" spans="1:1" x14ac:dyDescent="0.3">
      <c r="A213" s="2" t="s">
        <v>342</v>
      </c>
    </row>
    <row r="214" spans="1:1" x14ac:dyDescent="0.3">
      <c r="A214" s="2" t="s">
        <v>343</v>
      </c>
    </row>
    <row r="215" spans="1:1" x14ac:dyDescent="0.3">
      <c r="A215" s="2" t="s">
        <v>344</v>
      </c>
    </row>
    <row r="216" spans="1:1" x14ac:dyDescent="0.3">
      <c r="A216" s="2" t="s">
        <v>345</v>
      </c>
    </row>
    <row r="217" spans="1:1" x14ac:dyDescent="0.3">
      <c r="A217" s="2" t="s">
        <v>45</v>
      </c>
    </row>
    <row r="218" spans="1:1" x14ac:dyDescent="0.3">
      <c r="A218" s="2" t="s">
        <v>346</v>
      </c>
    </row>
    <row r="219" spans="1:1" x14ac:dyDescent="0.3">
      <c r="A219" s="2" t="s">
        <v>347</v>
      </c>
    </row>
    <row r="220" spans="1:1" x14ac:dyDescent="0.3">
      <c r="A220" s="2" t="s">
        <v>348</v>
      </c>
    </row>
    <row r="221" spans="1:1" x14ac:dyDescent="0.3">
      <c r="A221" s="2" t="s">
        <v>349</v>
      </c>
    </row>
    <row r="222" spans="1:1" x14ac:dyDescent="0.3">
      <c r="A222" s="2" t="s">
        <v>350</v>
      </c>
    </row>
    <row r="223" spans="1:1" x14ac:dyDescent="0.3">
      <c r="A223" s="2" t="s">
        <v>351</v>
      </c>
    </row>
    <row r="224" spans="1:1" x14ac:dyDescent="0.3">
      <c r="A224" s="2" t="s">
        <v>352</v>
      </c>
    </row>
    <row r="225" spans="1:1" x14ac:dyDescent="0.3">
      <c r="A225" s="2" t="s">
        <v>353</v>
      </c>
    </row>
    <row r="226" spans="1:1" x14ac:dyDescent="0.3">
      <c r="A226" s="2" t="s">
        <v>354</v>
      </c>
    </row>
    <row r="227" spans="1:1" x14ac:dyDescent="0.3">
      <c r="A227" s="2" t="s">
        <v>355</v>
      </c>
    </row>
    <row r="228" spans="1:1" x14ac:dyDescent="0.3">
      <c r="A228" s="2" t="s">
        <v>356</v>
      </c>
    </row>
    <row r="229" spans="1:1" x14ac:dyDescent="0.3">
      <c r="A229" s="2" t="s">
        <v>357</v>
      </c>
    </row>
    <row r="230" spans="1:1" x14ac:dyDescent="0.3">
      <c r="A230" s="2" t="s">
        <v>358</v>
      </c>
    </row>
    <row r="231" spans="1:1" x14ac:dyDescent="0.3">
      <c r="A231" s="2" t="s">
        <v>359</v>
      </c>
    </row>
    <row r="232" spans="1:1" x14ac:dyDescent="0.3">
      <c r="A232" s="2" t="s">
        <v>360</v>
      </c>
    </row>
    <row r="233" spans="1:1" x14ac:dyDescent="0.3">
      <c r="A233" s="2" t="s">
        <v>361</v>
      </c>
    </row>
    <row r="234" spans="1:1" x14ac:dyDescent="0.3">
      <c r="A234" s="2" t="s">
        <v>362</v>
      </c>
    </row>
    <row r="235" spans="1:1" x14ac:dyDescent="0.3">
      <c r="A235" s="2" t="s">
        <v>363</v>
      </c>
    </row>
    <row r="236" spans="1:1" x14ac:dyDescent="0.3">
      <c r="A236" s="2" t="s">
        <v>364</v>
      </c>
    </row>
    <row r="237" spans="1:1" x14ac:dyDescent="0.3">
      <c r="A237" s="2" t="s">
        <v>365</v>
      </c>
    </row>
    <row r="238" spans="1:1" x14ac:dyDescent="0.3">
      <c r="A238" s="2" t="s">
        <v>366</v>
      </c>
    </row>
    <row r="239" spans="1:1" x14ac:dyDescent="0.3">
      <c r="A239" s="2" t="s">
        <v>367</v>
      </c>
    </row>
    <row r="240" spans="1:1" x14ac:dyDescent="0.3">
      <c r="A240" s="2" t="s">
        <v>368</v>
      </c>
    </row>
    <row r="241" spans="1:1" x14ac:dyDescent="0.3">
      <c r="A241" s="2" t="s">
        <v>369</v>
      </c>
    </row>
    <row r="242" spans="1:1" x14ac:dyDescent="0.3">
      <c r="A242" s="2" t="s">
        <v>370</v>
      </c>
    </row>
    <row r="243" spans="1:1" x14ac:dyDescent="0.3">
      <c r="A243" s="2" t="s">
        <v>371</v>
      </c>
    </row>
    <row r="244" spans="1:1" x14ac:dyDescent="0.3">
      <c r="A244" s="2" t="s">
        <v>372</v>
      </c>
    </row>
    <row r="245" spans="1:1" x14ac:dyDescent="0.3">
      <c r="A245" s="2" t="s">
        <v>373</v>
      </c>
    </row>
    <row r="246" spans="1:1" x14ac:dyDescent="0.3">
      <c r="A246" s="2" t="s">
        <v>374</v>
      </c>
    </row>
    <row r="247" spans="1:1" x14ac:dyDescent="0.3">
      <c r="A247" s="2" t="s">
        <v>375</v>
      </c>
    </row>
    <row r="248" spans="1:1" x14ac:dyDescent="0.3">
      <c r="A248" s="2" t="s">
        <v>21</v>
      </c>
    </row>
    <row r="249" spans="1:1" x14ac:dyDescent="0.3">
      <c r="A249" s="2" t="s">
        <v>376</v>
      </c>
    </row>
    <row r="250" spans="1:1" x14ac:dyDescent="0.3">
      <c r="A250" s="2" t="s">
        <v>377</v>
      </c>
    </row>
    <row r="251" spans="1:1" x14ac:dyDescent="0.3">
      <c r="A251" s="2" t="s">
        <v>378</v>
      </c>
    </row>
    <row r="252" spans="1:1" x14ac:dyDescent="0.3">
      <c r="A252" s="2" t="s">
        <v>38</v>
      </c>
    </row>
    <row r="253" spans="1:1" x14ac:dyDescent="0.3">
      <c r="A253" s="2" t="s">
        <v>379</v>
      </c>
    </row>
    <row r="254" spans="1:1" x14ac:dyDescent="0.3">
      <c r="A254" s="2" t="s">
        <v>380</v>
      </c>
    </row>
    <row r="255" spans="1:1" x14ac:dyDescent="0.3">
      <c r="A255" s="2" t="s">
        <v>381</v>
      </c>
    </row>
    <row r="256" spans="1:1" x14ac:dyDescent="0.3">
      <c r="A256" s="2" t="s">
        <v>382</v>
      </c>
    </row>
    <row r="257" spans="1:1" x14ac:dyDescent="0.3">
      <c r="A257" s="2" t="s">
        <v>383</v>
      </c>
    </row>
    <row r="258" spans="1:1" x14ac:dyDescent="0.3">
      <c r="A258" s="2" t="s">
        <v>384</v>
      </c>
    </row>
    <row r="259" spans="1:1" x14ac:dyDescent="0.3">
      <c r="A259" s="2" t="s">
        <v>385</v>
      </c>
    </row>
    <row r="260" spans="1:1" x14ac:dyDescent="0.3">
      <c r="A260" s="2" t="s">
        <v>386</v>
      </c>
    </row>
  </sheetData>
  <autoFilter ref="A1" xr:uid="{237D0AB1-9E33-47C2-84E1-466385F727C1}"/>
  <sortState xmlns:xlrd2="http://schemas.microsoft.com/office/spreadsheetml/2017/richdata2" ref="A2:A260">
    <sortCondition ref="A2:A26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Setup</vt:lpstr>
      <vt:lpstr>Example 2 Tier Grouping</vt:lpstr>
      <vt:lpstr>Example 3 Tier Grouping</vt:lpstr>
      <vt:lpstr>Example Location + Group Matrix</vt:lpstr>
      <vt:lpstr>Example Update Locations</vt:lpstr>
      <vt:lpstr>Example Update Group Membership</vt:lpstr>
      <vt:lpstr>Country List</vt:lpstr>
      <vt:lpstr>countries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Farrugia</dc:creator>
  <cp:keywords/>
  <dc:description/>
  <cp:lastModifiedBy>Mark Farrugia</cp:lastModifiedBy>
  <cp:revision/>
  <dcterms:created xsi:type="dcterms:W3CDTF">2022-09-05T01:12:08Z</dcterms:created>
  <dcterms:modified xsi:type="dcterms:W3CDTF">2023-10-05T04:09:48Z</dcterms:modified>
  <cp:category/>
  <cp:contentStatus/>
</cp:coreProperties>
</file>